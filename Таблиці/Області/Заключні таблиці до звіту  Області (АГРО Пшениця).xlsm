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ms-office.vbaPro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840" yWindow="510" windowWidth="20730" windowHeight="11445" tabRatio="861" firstSheet="15" activeTab="26"/>
  </bookViews>
  <sheets>
    <sheet name="Україна" sheetId="23" r:id="rId1"/>
    <sheet name="АР Крим" sheetId="4" r:id="rId2"/>
    <sheet name="Вінницька" sheetId="5" r:id="rId3"/>
    <sheet name="Волинська" sheetId="6" r:id="rId4"/>
    <sheet name="Дніпропетровська" sheetId="7" r:id="rId5"/>
    <sheet name="Донецька" sheetId="8" r:id="rId6"/>
    <sheet name="Житомирська" sheetId="9" r:id="rId7"/>
    <sheet name="Закарпатська" sheetId="10" r:id="rId8"/>
    <sheet name="Запорізька" sheetId="11" r:id="rId9"/>
    <sheet name="Івано-Франківська" sheetId="12" r:id="rId10"/>
    <sheet name="Київська" sheetId="13" r:id="rId11"/>
    <sheet name="Кіровоградська" sheetId="14" r:id="rId12"/>
    <sheet name="Луганська" sheetId="15" r:id="rId13"/>
    <sheet name="Львівська" sheetId="16" r:id="rId14"/>
    <sheet name="Миколаївська" sheetId="17" r:id="rId15"/>
    <sheet name="Одеська" sheetId="18" r:id="rId16"/>
    <sheet name="Полтавська" sheetId="19" r:id="rId17"/>
    <sheet name="Рівненська" sheetId="20" r:id="rId18"/>
    <sheet name="Сумська" sheetId="21" r:id="rId19"/>
    <sheet name="Тернопільська" sheetId="22" r:id="rId20"/>
    <sheet name="Харківська" sheetId="24" r:id="rId21"/>
    <sheet name="Херсонська" sheetId="25" r:id="rId22"/>
    <sheet name="Хмельницька" sheetId="26" r:id="rId23"/>
    <sheet name="Черкаська" sheetId="27" r:id="rId24"/>
    <sheet name="Чернівецька" sheetId="28" r:id="rId25"/>
    <sheet name="Чернігівська" sheetId="29" r:id="rId26"/>
    <sheet name="All" sheetId="30" r:id="rId27"/>
    <sheet name="Лист2" sheetId="31" r:id="rId28"/>
  </sheets>
  <calcPr calcId="124519"/>
</workbook>
</file>

<file path=xl/calcChain.xml><?xml version="1.0" encoding="utf-8"?>
<calcChain xmlns="http://schemas.openxmlformats.org/spreadsheetml/2006/main">
  <c r="I83" i="29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28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27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26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25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24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22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21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20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19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18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17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16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15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14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13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12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11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10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9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8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7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6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5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83" i="4"/>
  <c r="H83"/>
  <c r="G83"/>
  <c r="F83"/>
  <c r="E83"/>
  <c r="D83"/>
  <c r="I82"/>
  <c r="H82"/>
  <c r="G82"/>
  <c r="F82"/>
  <c r="E82"/>
  <c r="D82"/>
  <c r="I81"/>
  <c r="H81"/>
  <c r="G81"/>
  <c r="F81"/>
  <c r="E81"/>
  <c r="D81"/>
  <c r="I80"/>
  <c r="H80"/>
  <c r="G80"/>
  <c r="F80"/>
  <c r="E80"/>
  <c r="D80"/>
  <c r="I79"/>
  <c r="H79"/>
  <c r="G79"/>
  <c r="F79"/>
  <c r="E79"/>
  <c r="D79"/>
  <c r="I78"/>
  <c r="H78"/>
  <c r="G78"/>
  <c r="F78"/>
  <c r="E78"/>
  <c r="D78"/>
  <c r="I77"/>
  <c r="H77"/>
  <c r="G77"/>
  <c r="F77"/>
  <c r="E77"/>
  <c r="D77"/>
  <c r="I76"/>
  <c r="H76"/>
  <c r="G76"/>
  <c r="F76"/>
  <c r="E76"/>
  <c r="D76"/>
  <c r="I75"/>
  <c r="H75"/>
  <c r="G75"/>
  <c r="F75"/>
  <c r="E75"/>
  <c r="D75"/>
  <c r="I74"/>
  <c r="H74"/>
  <c r="G74"/>
  <c r="F74"/>
  <c r="E74"/>
  <c r="D74"/>
  <c r="I73"/>
  <c r="H73"/>
  <c r="G73"/>
  <c r="F73"/>
  <c r="E73"/>
  <c r="D73"/>
  <c r="I72"/>
  <c r="H72"/>
  <c r="G72"/>
  <c r="F72"/>
  <c r="E72"/>
  <c r="D72"/>
  <c r="I71"/>
  <c r="H71"/>
  <c r="G71"/>
  <c r="F71"/>
  <c r="E71"/>
  <c r="D71"/>
  <c r="I70"/>
  <c r="H70"/>
  <c r="G70"/>
  <c r="F70"/>
  <c r="E70"/>
  <c r="D70"/>
  <c r="I69"/>
  <c r="H69"/>
  <c r="G69"/>
  <c r="F69"/>
  <c r="E69"/>
  <c r="D69"/>
  <c r="I68"/>
  <c r="H68"/>
  <c r="G68"/>
  <c r="F68"/>
  <c r="E68"/>
  <c r="D68"/>
  <c r="I67"/>
  <c r="H67"/>
  <c r="G67"/>
  <c r="F67"/>
  <c r="E67"/>
  <c r="D67"/>
  <c r="I66"/>
  <c r="H66"/>
  <c r="G66"/>
  <c r="F66"/>
  <c r="E66"/>
  <c r="D66"/>
  <c r="I65"/>
  <c r="H65"/>
  <c r="G65"/>
  <c r="F65"/>
  <c r="E65"/>
  <c r="D65"/>
  <c r="F64"/>
  <c r="E64"/>
  <c r="D64"/>
  <c r="I63"/>
  <c r="H63"/>
  <c r="G63"/>
  <c r="F63"/>
  <c r="E63"/>
  <c r="D63"/>
  <c r="I62"/>
  <c r="H62"/>
  <c r="G62"/>
  <c r="F62"/>
  <c r="E62"/>
  <c r="D62"/>
  <c r="I61"/>
  <c r="H61"/>
  <c r="G61"/>
  <c r="F61"/>
  <c r="E61"/>
  <c r="D61"/>
  <c r="I60"/>
  <c r="H60"/>
  <c r="G60"/>
  <c r="F60"/>
  <c r="E60"/>
  <c r="D60"/>
  <c r="I59"/>
  <c r="H59"/>
  <c r="G59"/>
  <c r="F59"/>
  <c r="E59"/>
  <c r="D59"/>
  <c r="I58"/>
  <c r="H58"/>
  <c r="G58"/>
  <c r="F58"/>
  <c r="E58"/>
  <c r="D58"/>
  <c r="I57"/>
  <c r="H57"/>
  <c r="G57"/>
  <c r="F57"/>
  <c r="E57"/>
  <c r="D57"/>
  <c r="I56"/>
  <c r="H56"/>
  <c r="G56"/>
  <c r="F56"/>
  <c r="E56"/>
  <c r="D56"/>
  <c r="I55"/>
  <c r="H55"/>
  <c r="G55"/>
  <c r="F55"/>
  <c r="E55"/>
  <c r="D55"/>
  <c r="I54"/>
  <c r="H54"/>
  <c r="G54"/>
  <c r="F54"/>
  <c r="E54"/>
  <c r="D54"/>
  <c r="I53"/>
  <c r="H53"/>
  <c r="G53"/>
  <c r="F53"/>
  <c r="E53"/>
  <c r="D53"/>
  <c r="I52"/>
  <c r="H52"/>
  <c r="G52"/>
  <c r="F52"/>
  <c r="E52"/>
  <c r="D52"/>
  <c r="I51"/>
  <c r="H51"/>
  <c r="G51"/>
  <c r="F51"/>
  <c r="E51"/>
  <c r="D51"/>
  <c r="I50"/>
  <c r="H50"/>
  <c r="G50"/>
  <c r="F50"/>
  <c r="E50"/>
  <c r="D50"/>
  <c r="I49"/>
  <c r="H49"/>
  <c r="G49"/>
  <c r="F49"/>
  <c r="E49"/>
  <c r="D49"/>
  <c r="I53" i="23"/>
  <c r="I52"/>
  <c r="I51"/>
  <c r="I50"/>
  <c r="I49"/>
  <c r="H53"/>
  <c r="H52"/>
  <c r="H51"/>
  <c r="H50"/>
  <c r="H49"/>
  <c r="G53"/>
  <c r="G52"/>
  <c r="G51"/>
  <c r="G50"/>
  <c r="G49"/>
  <c r="F53"/>
  <c r="F52"/>
  <c r="F51"/>
  <c r="F50"/>
  <c r="F49"/>
  <c r="E53"/>
  <c r="E52"/>
  <c r="E51"/>
  <c r="E50"/>
  <c r="E49"/>
  <c r="D53"/>
  <c r="D52"/>
  <c r="D51"/>
  <c r="D50"/>
  <c r="D49"/>
  <c r="I58"/>
  <c r="I57"/>
  <c r="I56"/>
  <c r="I55"/>
  <c r="I54"/>
  <c r="H58"/>
  <c r="H57"/>
  <c r="H56"/>
  <c r="H55"/>
  <c r="H54"/>
  <c r="G58"/>
  <c r="G57"/>
  <c r="G56"/>
  <c r="G55"/>
  <c r="G54"/>
  <c r="F58"/>
  <c r="F57"/>
  <c r="F56"/>
  <c r="F55"/>
  <c r="F54"/>
  <c r="E58"/>
  <c r="E57"/>
  <c r="E56"/>
  <c r="E55"/>
  <c r="E54"/>
  <c r="D58"/>
  <c r="D57"/>
  <c r="D56"/>
  <c r="D55"/>
  <c r="D54"/>
  <c r="D59"/>
  <c r="E59"/>
  <c r="F59"/>
  <c r="G59"/>
  <c r="H59"/>
  <c r="I59"/>
  <c r="D60"/>
  <c r="E60"/>
  <c r="F60"/>
  <c r="G60"/>
  <c r="H60"/>
  <c r="I60"/>
  <c r="D61"/>
  <c r="E61"/>
  <c r="F61"/>
  <c r="G61"/>
  <c r="H61"/>
  <c r="I61"/>
  <c r="D62"/>
  <c r="E62"/>
  <c r="F62"/>
  <c r="G62"/>
  <c r="H62"/>
  <c r="I62"/>
  <c r="D63"/>
  <c r="E63"/>
  <c r="F63"/>
  <c r="G63"/>
  <c r="H63"/>
  <c r="I63"/>
  <c r="D64"/>
  <c r="E64"/>
  <c r="F64"/>
  <c r="D65"/>
  <c r="E65"/>
  <c r="F65"/>
  <c r="G65"/>
  <c r="H65"/>
  <c r="I65"/>
  <c r="D66"/>
  <c r="E66"/>
  <c r="F66"/>
  <c r="G66"/>
  <c r="H66"/>
  <c r="I66"/>
  <c r="D67"/>
  <c r="E67"/>
  <c r="F67"/>
  <c r="G67"/>
  <c r="H67"/>
  <c r="I67"/>
  <c r="D68"/>
  <c r="E68"/>
  <c r="F68"/>
  <c r="G68"/>
  <c r="H68"/>
  <c r="I68"/>
  <c r="D69"/>
  <c r="E69"/>
  <c r="F69"/>
  <c r="G69"/>
  <c r="H69"/>
  <c r="I69"/>
  <c r="D70"/>
  <c r="E70"/>
  <c r="F70"/>
  <c r="G70"/>
  <c r="H70"/>
  <c r="I70"/>
  <c r="D71"/>
  <c r="E71"/>
  <c r="F71"/>
  <c r="G71"/>
  <c r="H71"/>
  <c r="I71"/>
  <c r="D72"/>
  <c r="E72"/>
  <c r="F72"/>
  <c r="G72"/>
  <c r="H72"/>
  <c r="I72"/>
  <c r="D73"/>
  <c r="E73"/>
  <c r="F73"/>
  <c r="G73"/>
  <c r="H73"/>
  <c r="I73"/>
  <c r="D74"/>
  <c r="E74"/>
  <c r="F74"/>
  <c r="G74"/>
  <c r="H74"/>
  <c r="I74"/>
  <c r="D75"/>
  <c r="E75"/>
  <c r="F75"/>
  <c r="G75"/>
  <c r="H75"/>
  <c r="I75"/>
  <c r="D76"/>
  <c r="E76"/>
  <c r="F76"/>
  <c r="G76"/>
  <c r="H76"/>
  <c r="I76"/>
  <c r="D77"/>
  <c r="E77"/>
  <c r="F77"/>
  <c r="G77"/>
  <c r="H77"/>
  <c r="I77"/>
  <c r="D78"/>
  <c r="E78"/>
  <c r="F78"/>
  <c r="G78"/>
  <c r="H78"/>
  <c r="I78"/>
  <c r="D79"/>
  <c r="E79"/>
  <c r="F79"/>
  <c r="G79"/>
  <c r="H79"/>
  <c r="I79"/>
  <c r="D80"/>
  <c r="E80"/>
  <c r="F80"/>
  <c r="G80"/>
  <c r="H80"/>
  <c r="I80"/>
  <c r="D81"/>
  <c r="E81"/>
  <c r="F81"/>
  <c r="G81"/>
  <c r="H81"/>
  <c r="I81"/>
  <c r="D82"/>
  <c r="E82"/>
  <c r="F82"/>
  <c r="G82"/>
  <c r="H82"/>
  <c r="I82"/>
  <c r="D83"/>
  <c r="E83"/>
  <c r="F83"/>
  <c r="G83"/>
  <c r="H83"/>
  <c r="I83"/>
</calcChain>
</file>

<file path=xl/sharedStrings.xml><?xml version="1.0" encoding="utf-8"?>
<sst xmlns="http://schemas.openxmlformats.org/spreadsheetml/2006/main" count="1487" uniqueCount="34">
  <si>
    <t>Фази вегетаційного циклу вирощування озимої пшениці</t>
  </si>
  <si>
    <t>Передпосівний  період (VII-VIII)</t>
  </si>
  <si>
    <t>Сівба-Сходи (IX-X)</t>
  </si>
  <si>
    <t>Кущіння (ХІ)</t>
  </si>
  <si>
    <t>Припинення вегетації (XII-II)</t>
  </si>
  <si>
    <t>Відновлення вегетації (III-V)</t>
  </si>
  <si>
    <t>Колосіння-Цвітіння (VI)</t>
  </si>
  <si>
    <t>Молочна -Воскова стиглість (VII))</t>
  </si>
  <si>
    <t>Озима пшениця</t>
  </si>
  <si>
    <t>Ярий ячмінь</t>
  </si>
  <si>
    <t>Кукурудза середньостигла</t>
  </si>
  <si>
    <t>Тср</t>
  </si>
  <si>
    <t>Кількість  опадів</t>
  </si>
  <si>
    <t>Коефіцієнт продуктивності температури</t>
  </si>
  <si>
    <t xml:space="preserve">Коефіцієнт продуктивності опадів </t>
  </si>
  <si>
    <t>Сумісний коефіцієнт продуктивності Т і R</t>
  </si>
  <si>
    <r>
      <rPr>
        <sz val="12"/>
        <rFont val="Times New Roman"/>
        <family val="1"/>
        <charset val="204"/>
      </rPr>
      <t>Х</t>
    </r>
    <r>
      <rPr>
        <vertAlign val="subscript"/>
        <sz val="12"/>
        <rFont val="Times New Roman"/>
        <family val="1"/>
        <charset val="204"/>
      </rPr>
      <t>(1981-2010)</t>
    </r>
  </si>
  <si>
    <r>
      <t>λ</t>
    </r>
    <r>
      <rPr>
        <vertAlign val="subscript"/>
        <sz val="12"/>
        <rFont val="Times New Roman"/>
        <family val="1"/>
        <charset val="204"/>
      </rPr>
      <t>(1981-2010)</t>
    </r>
  </si>
  <si>
    <t>рλ</t>
  </si>
  <si>
    <r>
      <rPr>
        <sz val="12"/>
        <rFont val="Times New Roman"/>
        <family val="1"/>
        <charset val="204"/>
      </rPr>
      <t>Х</t>
    </r>
    <r>
      <rPr>
        <vertAlign val="subscript"/>
        <sz val="12"/>
        <rFont val="Times New Roman"/>
        <family val="1"/>
        <charset val="204"/>
      </rPr>
      <t>(2021-2050)</t>
    </r>
  </si>
  <si>
    <r>
      <t>∆</t>
    </r>
    <r>
      <rPr>
        <vertAlign val="subscript"/>
        <sz val="12"/>
        <rFont val="Times New Roman"/>
        <family val="1"/>
        <charset val="204"/>
      </rPr>
      <t>(2021-2050)-(1981-2010)</t>
    </r>
  </si>
  <si>
    <t>р∆</t>
  </si>
  <si>
    <t>Період</t>
  </si>
  <si>
    <t>Показник</t>
  </si>
  <si>
    <t>CultureID</t>
  </si>
  <si>
    <t>RegionID</t>
  </si>
  <si>
    <t>SeasonID</t>
  </si>
  <si>
    <t>VariableID</t>
  </si>
  <si>
    <t>ActualValue</t>
  </si>
  <si>
    <t>ChangeSpeedActual</t>
  </si>
  <si>
    <t>ActualSignif</t>
  </si>
  <si>
    <t>PredictedValue</t>
  </si>
  <si>
    <t>Diff</t>
  </si>
  <si>
    <t>PredictedSignif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</si>
</sst>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1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0"/>
      <color rgb="FFFF0000"/>
      <name val="Arial"/>
      <family val="2"/>
      <charset val="204"/>
    </font>
    <font>
      <sz val="10"/>
      <color indexed="8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name val="Arial"/>
      <family val="2"/>
      <charset val="204"/>
    </font>
    <font>
      <b/>
      <sz val="11"/>
      <color rgb="FF7030A0"/>
      <name val="Calibri"/>
      <family val="2"/>
      <charset val="204"/>
      <scheme val="minor"/>
    </font>
    <font>
      <b/>
      <sz val="10"/>
      <color rgb="FFFF0000"/>
      <name val="Arial"/>
      <family val="2"/>
      <charset val="204"/>
    </font>
    <font>
      <sz val="10"/>
      <color rgb="FFFF0000"/>
      <name val="Times New Roman"/>
      <family val="1"/>
      <charset val="204"/>
    </font>
    <font>
      <sz val="10"/>
      <color rgb="FFFF0000"/>
      <name val="Arial Cyr"/>
      <family val="2"/>
      <charset val="204"/>
    </font>
    <font>
      <sz val="10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199">
    <xf numFmtId="0" fontId="0" fillId="0" borderId="0" xfId="0"/>
    <xf numFmtId="164" fontId="2" fillId="0" borderId="11" xfId="0" applyNumberFormat="1" applyFont="1" applyFill="1" applyBorder="1"/>
    <xf numFmtId="164" fontId="2" fillId="0" borderId="12" xfId="0" applyNumberFormat="1" applyFont="1" applyFill="1" applyBorder="1"/>
    <xf numFmtId="164" fontId="2" fillId="0" borderId="13" xfId="0" applyNumberFormat="1" applyFont="1" applyFill="1" applyBorder="1"/>
    <xf numFmtId="164" fontId="2" fillId="0" borderId="14" xfId="0" applyNumberFormat="1" applyFont="1" applyFill="1" applyBorder="1"/>
    <xf numFmtId="165" fontId="2" fillId="0" borderId="15" xfId="0" applyNumberFormat="1" applyFont="1" applyFill="1" applyBorder="1" applyAlignment="1"/>
    <xf numFmtId="164" fontId="2" fillId="0" borderId="14" xfId="0" applyNumberFormat="1" applyFont="1" applyFill="1" applyBorder="1" applyAlignment="1"/>
    <xf numFmtId="2" fontId="2" fillId="0" borderId="14" xfId="0" applyNumberFormat="1" applyFont="1" applyFill="1" applyBorder="1" applyAlignment="1"/>
    <xf numFmtId="0" fontId="0" fillId="0" borderId="0" xfId="0" applyBorder="1"/>
    <xf numFmtId="164" fontId="3" fillId="0" borderId="9" xfId="0" applyNumberFormat="1" applyFont="1" applyFill="1" applyBorder="1"/>
    <xf numFmtId="164" fontId="3" fillId="0" borderId="14" xfId="0" applyNumberFormat="1" applyFont="1" applyFill="1" applyBorder="1"/>
    <xf numFmtId="164" fontId="1" fillId="0" borderId="14" xfId="0" applyNumberFormat="1" applyFont="1" applyFill="1" applyBorder="1"/>
    <xf numFmtId="164" fontId="1" fillId="0" borderId="16" xfId="0" applyNumberFormat="1" applyFont="1" applyFill="1" applyBorder="1"/>
    <xf numFmtId="1" fontId="1" fillId="0" borderId="14" xfId="0" applyNumberFormat="1" applyFont="1" applyFill="1" applyBorder="1"/>
    <xf numFmtId="164" fontId="2" fillId="0" borderId="9" xfId="0" applyNumberFormat="1" applyFont="1" applyFill="1" applyBorder="1"/>
    <xf numFmtId="0" fontId="6" fillId="0" borderId="24" xfId="0" applyFont="1" applyBorder="1" applyAlignment="1"/>
    <xf numFmtId="0" fontId="7" fillId="0" borderId="25" xfId="0" applyFont="1" applyBorder="1" applyAlignment="1"/>
    <xf numFmtId="0" fontId="7" fillId="0" borderId="26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3" fillId="0" borderId="13" xfId="0" applyNumberFormat="1" applyFont="1" applyFill="1" applyBorder="1"/>
    <xf numFmtId="0" fontId="6" fillId="0" borderId="12" xfId="0" applyFont="1" applyBorder="1" applyAlignment="1"/>
    <xf numFmtId="0" fontId="7" fillId="0" borderId="16" xfId="0" applyFont="1" applyBorder="1" applyAlignment="1"/>
    <xf numFmtId="0" fontId="7" fillId="0" borderId="16" xfId="0" applyFont="1" applyBorder="1" applyAlignment="1">
      <alignment horizontal="center"/>
    </xf>
    <xf numFmtId="0" fontId="6" fillId="0" borderId="16" xfId="0" applyFont="1" applyBorder="1" applyAlignment="1"/>
    <xf numFmtId="0" fontId="6" fillId="0" borderId="11" xfId="0" applyFont="1" applyBorder="1" applyAlignment="1"/>
    <xf numFmtId="0" fontId="7" fillId="0" borderId="22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8" fillId="0" borderId="0" xfId="0" applyFont="1"/>
    <xf numFmtId="0" fontId="8" fillId="0" borderId="6" xfId="0" applyFont="1" applyBorder="1"/>
    <xf numFmtId="0" fontId="8" fillId="0" borderId="7" xfId="0" applyFont="1" applyBorder="1"/>
    <xf numFmtId="164" fontId="8" fillId="0" borderId="9" xfId="0" applyNumberFormat="1" applyFont="1" applyFill="1" applyBorder="1"/>
    <xf numFmtId="1" fontId="8" fillId="0" borderId="9" xfId="0" applyNumberFormat="1" applyFont="1" applyFill="1" applyBorder="1"/>
    <xf numFmtId="164" fontId="8" fillId="0" borderId="14" xfId="0" applyNumberFormat="1" applyFont="1" applyBorder="1" applyAlignment="1">
      <alignment horizontal="right"/>
    </xf>
    <xf numFmtId="164" fontId="8" fillId="0" borderId="14" xfId="0" applyNumberFormat="1" applyFont="1" applyFill="1" applyBorder="1"/>
    <xf numFmtId="164" fontId="8" fillId="0" borderId="14" xfId="0" applyNumberFormat="1" applyFont="1" applyFill="1" applyBorder="1" applyAlignment="1"/>
    <xf numFmtId="165" fontId="8" fillId="0" borderId="14" xfId="0" applyNumberFormat="1" applyFont="1" applyBorder="1" applyAlignment="1">
      <alignment horizontal="right"/>
    </xf>
    <xf numFmtId="165" fontId="8" fillId="0" borderId="14" xfId="0" applyNumberFormat="1" applyFont="1" applyFill="1" applyBorder="1" applyAlignment="1">
      <alignment horizontal="right" vertical="center"/>
    </xf>
    <xf numFmtId="165" fontId="8" fillId="0" borderId="14" xfId="0" applyNumberFormat="1" applyFont="1" applyFill="1" applyBorder="1" applyAlignment="1"/>
    <xf numFmtId="1" fontId="3" fillId="0" borderId="14" xfId="0" applyNumberFormat="1" applyFont="1" applyFill="1" applyBorder="1"/>
    <xf numFmtId="164" fontId="3" fillId="0" borderId="14" xfId="0" applyNumberFormat="1" applyFont="1" applyFill="1" applyBorder="1" applyAlignment="1">
      <alignment horizontal="right" vertical="center"/>
    </xf>
    <xf numFmtId="164" fontId="3" fillId="0" borderId="14" xfId="0" applyNumberFormat="1" applyFont="1" applyFill="1" applyBorder="1" applyAlignment="1">
      <alignment horizontal="right"/>
    </xf>
    <xf numFmtId="164" fontId="3" fillId="0" borderId="14" xfId="0" applyNumberFormat="1" applyFont="1" applyFill="1" applyBorder="1" applyAlignment="1"/>
    <xf numFmtId="165" fontId="3" fillId="0" borderId="6" xfId="0" applyNumberFormat="1" applyFont="1" applyFill="1" applyBorder="1" applyAlignment="1">
      <alignment horizontal="right"/>
    </xf>
    <xf numFmtId="165" fontId="3" fillId="0" borderId="6" xfId="0" applyNumberFormat="1" applyFont="1" applyFill="1" applyBorder="1" applyAlignment="1"/>
    <xf numFmtId="164" fontId="8" fillId="0" borderId="13" xfId="0" applyNumberFormat="1" applyFont="1" applyFill="1" applyBorder="1"/>
    <xf numFmtId="1" fontId="8" fillId="0" borderId="13" xfId="0" applyNumberFormat="1" applyFont="1" applyFill="1" applyBorder="1"/>
    <xf numFmtId="165" fontId="3" fillId="0" borderId="4" xfId="0" applyNumberFormat="1" applyFont="1" applyFill="1" applyBorder="1"/>
    <xf numFmtId="165" fontId="3" fillId="0" borderId="4" xfId="0" applyNumberFormat="1" applyFont="1" applyFill="1" applyBorder="1" applyAlignment="1"/>
    <xf numFmtId="165" fontId="3" fillId="0" borderId="6" xfId="0" applyNumberFormat="1" applyFont="1" applyFill="1" applyBorder="1"/>
    <xf numFmtId="2" fontId="8" fillId="0" borderId="14" xfId="0" applyNumberFormat="1" applyFont="1" applyFill="1" applyBorder="1" applyAlignment="1"/>
    <xf numFmtId="2" fontId="3" fillId="0" borderId="6" xfId="0" applyNumberFormat="1" applyFont="1" applyFill="1" applyBorder="1" applyAlignment="1">
      <alignment horizontal="right" vertical="center"/>
    </xf>
    <xf numFmtId="2" fontId="3" fillId="0" borderId="6" xfId="0" applyNumberFormat="1" applyFont="1" applyFill="1" applyBorder="1" applyAlignment="1">
      <alignment horizontal="right"/>
    </xf>
    <xf numFmtId="2" fontId="3" fillId="0" borderId="4" xfId="0" applyNumberFormat="1" applyFont="1" applyFill="1" applyBorder="1" applyAlignment="1">
      <alignment horizontal="right" vertical="center"/>
    </xf>
    <xf numFmtId="2" fontId="3" fillId="0" borderId="4" xfId="0" applyNumberFormat="1" applyFont="1" applyFill="1" applyBorder="1"/>
    <xf numFmtId="2" fontId="3" fillId="0" borderId="6" xfId="0" applyNumberFormat="1" applyFont="1" applyFill="1" applyBorder="1"/>
    <xf numFmtId="1" fontId="3" fillId="0" borderId="9" xfId="0" applyNumberFormat="1" applyFont="1" applyFill="1" applyBorder="1"/>
    <xf numFmtId="165" fontId="3" fillId="0" borderId="14" xfId="0" applyNumberFormat="1" applyFont="1" applyFill="1" applyBorder="1" applyAlignment="1">
      <alignment horizontal="right"/>
    </xf>
    <xf numFmtId="2" fontId="3" fillId="0" borderId="14" xfId="0" applyNumberFormat="1" applyFont="1" applyFill="1" applyBorder="1" applyAlignment="1">
      <alignment horizontal="right"/>
    </xf>
    <xf numFmtId="165" fontId="3" fillId="0" borderId="14" xfId="0" applyNumberFormat="1" applyFont="1" applyFill="1" applyBorder="1" applyAlignment="1"/>
    <xf numFmtId="165" fontId="8" fillId="0" borderId="6" xfId="0" applyNumberFormat="1" applyFont="1" applyFill="1" applyBorder="1" applyAlignment="1"/>
    <xf numFmtId="1" fontId="3" fillId="0" borderId="13" xfId="0" applyNumberFormat="1" applyFont="1" applyFill="1" applyBorder="1"/>
    <xf numFmtId="165" fontId="3" fillId="0" borderId="14" xfId="0" applyNumberFormat="1" applyFont="1" applyFill="1" applyBorder="1"/>
    <xf numFmtId="2" fontId="3" fillId="0" borderId="14" xfId="0" applyNumberFormat="1" applyFont="1" applyFill="1" applyBorder="1"/>
    <xf numFmtId="165" fontId="8" fillId="0" borderId="4" xfId="0" applyNumberFormat="1" applyFont="1" applyFill="1" applyBorder="1" applyAlignment="1"/>
    <xf numFmtId="2" fontId="8" fillId="0" borderId="6" xfId="0" applyNumberFormat="1" applyFont="1" applyFill="1" applyBorder="1" applyAlignment="1"/>
    <xf numFmtId="0" fontId="8" fillId="0" borderId="14" xfId="0" applyFont="1" applyBorder="1"/>
    <xf numFmtId="165" fontId="8" fillId="0" borderId="14" xfId="0" applyNumberFormat="1" applyFont="1" applyFill="1" applyBorder="1"/>
    <xf numFmtId="2" fontId="8" fillId="0" borderId="14" xfId="0" applyNumberFormat="1" applyFont="1" applyFill="1" applyBorder="1"/>
    <xf numFmtId="164" fontId="9" fillId="0" borderId="14" xfId="0" applyNumberFormat="1" applyFont="1" applyFill="1" applyBorder="1" applyAlignment="1">
      <alignment wrapText="1"/>
    </xf>
    <xf numFmtId="165" fontId="9" fillId="0" borderId="14" xfId="0" applyNumberFormat="1" applyFont="1" applyFill="1" applyBorder="1" applyAlignment="1">
      <alignment horizontal="right" vertical="center"/>
    </xf>
    <xf numFmtId="164" fontId="8" fillId="0" borderId="14" xfId="0" applyNumberFormat="1" applyFont="1" applyFill="1" applyBorder="1" applyAlignment="1">
      <alignment wrapText="1"/>
    </xf>
    <xf numFmtId="165" fontId="5" fillId="0" borderId="14" xfId="0" applyNumberFormat="1" applyFont="1" applyFill="1" applyBorder="1" applyAlignment="1">
      <alignment horizontal="right" vertical="center"/>
    </xf>
    <xf numFmtId="165" fontId="2" fillId="0" borderId="14" xfId="0" applyNumberFormat="1" applyFont="1" applyFill="1" applyBorder="1" applyAlignment="1"/>
    <xf numFmtId="1" fontId="2" fillId="0" borderId="13" xfId="0" applyNumberFormat="1" applyFont="1" applyFill="1" applyBorder="1"/>
    <xf numFmtId="1" fontId="2" fillId="0" borderId="9" xfId="0" applyNumberFormat="1" applyFont="1" applyFill="1" applyBorder="1"/>
    <xf numFmtId="164" fontId="2" fillId="0" borderId="10" xfId="0" applyNumberFormat="1" applyFont="1" applyFill="1" applyBorder="1"/>
    <xf numFmtId="165" fontId="1" fillId="0" borderId="6" xfId="0" applyNumberFormat="1" applyFont="1" applyFill="1" applyBorder="1"/>
    <xf numFmtId="0" fontId="8" fillId="0" borderId="22" xfId="0" applyFont="1" applyBorder="1"/>
    <xf numFmtId="164" fontId="3" fillId="0" borderId="16" xfId="0" applyNumberFormat="1" applyFont="1" applyFill="1" applyBorder="1"/>
    <xf numFmtId="164" fontId="4" fillId="0" borderId="16" xfId="0" applyNumberFormat="1" applyFont="1" applyFill="1" applyBorder="1" applyAlignment="1">
      <alignment horizontal="right" vertical="center"/>
    </xf>
    <xf numFmtId="2" fontId="4" fillId="0" borderId="22" xfId="0" applyNumberFormat="1" applyFont="1" applyFill="1" applyBorder="1" applyAlignment="1">
      <alignment horizontal="right" vertical="center"/>
    </xf>
    <xf numFmtId="164" fontId="2" fillId="0" borderId="16" xfId="0" applyNumberFormat="1" applyFont="1" applyFill="1" applyBorder="1" applyAlignment="1"/>
    <xf numFmtId="165" fontId="2" fillId="0" borderId="16" xfId="0" applyNumberFormat="1" applyFont="1" applyFill="1" applyBorder="1" applyAlignment="1"/>
    <xf numFmtId="0" fontId="7" fillId="0" borderId="25" xfId="0" applyFont="1" applyBorder="1" applyAlignment="1">
      <alignment horizontal="center"/>
    </xf>
    <xf numFmtId="0" fontId="6" fillId="0" borderId="25" xfId="0" applyFont="1" applyBorder="1" applyAlignment="1"/>
    <xf numFmtId="0" fontId="6" fillId="0" borderId="28" xfId="0" applyFont="1" applyBorder="1" applyAlignment="1"/>
    <xf numFmtId="164" fontId="2" fillId="0" borderId="17" xfId="0" applyNumberFormat="1" applyFont="1" applyFill="1" applyBorder="1"/>
    <xf numFmtId="164" fontId="2" fillId="0" borderId="15" xfId="0" applyNumberFormat="1" applyFont="1" applyFill="1" applyBorder="1" applyAlignment="1"/>
    <xf numFmtId="2" fontId="4" fillId="0" borderId="18" xfId="0" applyNumberFormat="1" applyFont="1" applyFill="1" applyBorder="1" applyAlignment="1">
      <alignment horizontal="right" vertical="center"/>
    </xf>
    <xf numFmtId="165" fontId="1" fillId="0" borderId="4" xfId="0" applyNumberFormat="1" applyFont="1" applyFill="1" applyBorder="1"/>
    <xf numFmtId="0" fontId="8" fillId="0" borderId="0" xfId="0" applyFont="1" applyBorder="1"/>
    <xf numFmtId="0" fontId="8" fillId="0" borderId="0" xfId="0" applyFont="1" applyBorder="1" applyAlignment="1"/>
    <xf numFmtId="0" fontId="8" fillId="0" borderId="3" xfId="0" applyFont="1" applyBorder="1" applyAlignment="1"/>
    <xf numFmtId="0" fontId="8" fillId="0" borderId="1" xfId="0" applyFont="1" applyBorder="1" applyAlignment="1"/>
    <xf numFmtId="0" fontId="8" fillId="0" borderId="2" xfId="0" applyFont="1" applyBorder="1" applyAlignment="1"/>
    <xf numFmtId="0" fontId="8" fillId="0" borderId="21" xfId="0" applyFont="1" applyBorder="1"/>
    <xf numFmtId="0" fontId="8" fillId="0" borderId="19" xfId="0" applyFont="1" applyBorder="1" applyAlignment="1">
      <alignment wrapText="1"/>
    </xf>
    <xf numFmtId="165" fontId="10" fillId="0" borderId="14" xfId="0" applyNumberFormat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8" fillId="0" borderId="14" xfId="0" applyFont="1" applyBorder="1" applyAlignment="1">
      <alignment horizontal="center"/>
    </xf>
    <xf numFmtId="164" fontId="10" fillId="0" borderId="14" xfId="0" applyNumberFormat="1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1" fontId="10" fillId="0" borderId="14" xfId="0" applyNumberFormat="1" applyFont="1" applyBorder="1" applyAlignment="1">
      <alignment horizontal="center"/>
    </xf>
    <xf numFmtId="164" fontId="10" fillId="0" borderId="14" xfId="0" applyNumberFormat="1" applyFont="1" applyBorder="1" applyAlignment="1">
      <alignment horizontal="center" vertical="center"/>
    </xf>
    <xf numFmtId="165" fontId="10" fillId="0" borderId="14" xfId="0" applyNumberFormat="1" applyFont="1" applyBorder="1" applyAlignment="1">
      <alignment horizontal="center" vertical="center"/>
    </xf>
    <xf numFmtId="1" fontId="10" fillId="0" borderId="14" xfId="0" applyNumberFormat="1" applyFont="1" applyFill="1" applyBorder="1" applyAlignment="1">
      <alignment horizontal="center"/>
    </xf>
    <xf numFmtId="164" fontId="10" fillId="0" borderId="14" xfId="0" applyNumberFormat="1" applyFont="1" applyFill="1" applyBorder="1" applyAlignment="1">
      <alignment horizontal="center"/>
    </xf>
    <xf numFmtId="165" fontId="10" fillId="0" borderId="14" xfId="0" applyNumberFormat="1" applyFont="1" applyFill="1" applyBorder="1" applyAlignment="1">
      <alignment horizontal="center" vertical="center"/>
    </xf>
    <xf numFmtId="1" fontId="10" fillId="0" borderId="14" xfId="0" applyNumberFormat="1" applyFont="1" applyFill="1" applyBorder="1" applyAlignment="1">
      <alignment horizontal="center" wrapText="1"/>
    </xf>
    <xf numFmtId="165" fontId="10" fillId="0" borderId="14" xfId="0" applyNumberFormat="1" applyFont="1" applyFill="1" applyBorder="1" applyAlignment="1">
      <alignment horizontal="center"/>
    </xf>
    <xf numFmtId="164" fontId="2" fillId="0" borderId="16" xfId="0" applyNumberFormat="1" applyFont="1" applyFill="1" applyBorder="1"/>
    <xf numFmtId="2" fontId="2" fillId="0" borderId="16" xfId="0" applyNumberFormat="1" applyFont="1" applyFill="1" applyBorder="1"/>
    <xf numFmtId="164" fontId="11" fillId="0" borderId="14" xfId="0" applyNumberFormat="1" applyFont="1" applyFill="1" applyBorder="1"/>
    <xf numFmtId="164" fontId="11" fillId="0" borderId="15" xfId="0" applyNumberFormat="1" applyFont="1" applyFill="1" applyBorder="1"/>
    <xf numFmtId="164" fontId="4" fillId="0" borderId="14" xfId="0" applyNumberFormat="1" applyFont="1" applyFill="1" applyBorder="1" applyAlignment="1">
      <alignment horizontal="right" vertical="center"/>
    </xf>
    <xf numFmtId="164" fontId="4" fillId="0" borderId="15" xfId="0" applyNumberFormat="1" applyFont="1" applyFill="1" applyBorder="1" applyAlignment="1">
      <alignment horizontal="right" vertical="center"/>
    </xf>
    <xf numFmtId="165" fontId="4" fillId="0" borderId="4" xfId="0" applyNumberFormat="1" applyFont="1" applyFill="1" applyBorder="1" applyAlignment="1">
      <alignment horizontal="right" vertical="center"/>
    </xf>
    <xf numFmtId="2" fontId="1" fillId="0" borderId="4" xfId="0" applyNumberFormat="1" applyFont="1" applyFill="1" applyBorder="1"/>
    <xf numFmtId="165" fontId="4" fillId="0" borderId="5" xfId="0" applyNumberFormat="1" applyFont="1" applyFill="1" applyBorder="1" applyAlignment="1">
      <alignment horizontal="right" vertical="center"/>
    </xf>
    <xf numFmtId="165" fontId="2" fillId="0" borderId="16" xfId="0" applyNumberFormat="1" applyFont="1" applyFill="1" applyBorder="1"/>
    <xf numFmtId="165" fontId="4" fillId="0" borderId="6" xfId="0" applyNumberFormat="1" applyFont="1" applyFill="1" applyBorder="1" applyAlignment="1">
      <alignment horizontal="right" vertical="center"/>
    </xf>
    <xf numFmtId="2" fontId="1" fillId="0" borderId="6" xfId="0" applyNumberFormat="1" applyFont="1" applyFill="1" applyBorder="1"/>
    <xf numFmtId="165" fontId="4" fillId="0" borderId="7" xfId="0" applyNumberFormat="1" applyFont="1" applyFill="1" applyBorder="1" applyAlignment="1">
      <alignment horizontal="right" vertical="center"/>
    </xf>
    <xf numFmtId="0" fontId="1" fillId="0" borderId="14" xfId="0" applyFont="1" applyFill="1" applyBorder="1"/>
    <xf numFmtId="164" fontId="12" fillId="0" borderId="15" xfId="0" applyNumberFormat="1" applyFont="1" applyFill="1" applyBorder="1" applyAlignment="1">
      <alignment horizontal="right" vertical="center"/>
    </xf>
    <xf numFmtId="0" fontId="1" fillId="0" borderId="6" xfId="0" applyFont="1" applyFill="1" applyBorder="1"/>
    <xf numFmtId="165" fontId="12" fillId="0" borderId="7" xfId="0" applyNumberFormat="1" applyFont="1" applyFill="1" applyBorder="1" applyAlignment="1">
      <alignment horizontal="right" vertical="center"/>
    </xf>
    <xf numFmtId="165" fontId="12" fillId="0" borderId="5" xfId="0" applyNumberFormat="1" applyFont="1" applyFill="1" applyBorder="1" applyAlignment="1">
      <alignment horizontal="right" vertical="center"/>
    </xf>
    <xf numFmtId="2" fontId="2" fillId="0" borderId="15" xfId="0" applyNumberFormat="1" applyFont="1" applyFill="1" applyBorder="1"/>
    <xf numFmtId="164" fontId="8" fillId="0" borderId="11" xfId="0" applyNumberFormat="1" applyFont="1" applyFill="1" applyBorder="1"/>
    <xf numFmtId="164" fontId="8" fillId="0" borderId="10" xfId="0" applyNumberFormat="1" applyFont="1" applyFill="1" applyBorder="1"/>
    <xf numFmtId="164" fontId="8" fillId="0" borderId="16" xfId="0" applyNumberFormat="1" applyFont="1" applyFill="1" applyBorder="1" applyAlignment="1">
      <alignment horizontal="right"/>
    </xf>
    <xf numFmtId="164" fontId="8" fillId="0" borderId="15" xfId="0" applyNumberFormat="1" applyFont="1" applyFill="1" applyBorder="1" applyAlignment="1"/>
    <xf numFmtId="165" fontId="8" fillId="0" borderId="16" xfId="0" applyNumberFormat="1" applyFont="1" applyFill="1" applyBorder="1" applyAlignment="1">
      <alignment horizontal="right"/>
    </xf>
    <xf numFmtId="165" fontId="8" fillId="0" borderId="15" xfId="0" applyNumberFormat="1" applyFont="1" applyFill="1" applyBorder="1" applyAlignment="1"/>
    <xf numFmtId="164" fontId="3" fillId="0" borderId="16" xfId="0" applyNumberFormat="1" applyFont="1" applyFill="1" applyBorder="1" applyAlignment="1">
      <alignment horizontal="right" vertical="center"/>
    </xf>
    <xf numFmtId="164" fontId="13" fillId="0" borderId="14" xfId="0" applyNumberFormat="1" applyFont="1" applyFill="1" applyBorder="1" applyAlignment="1">
      <alignment horizontal="right"/>
    </xf>
    <xf numFmtId="164" fontId="1" fillId="0" borderId="15" xfId="0" applyNumberFormat="1" applyFont="1" applyFill="1" applyBorder="1" applyAlignment="1"/>
    <xf numFmtId="165" fontId="3" fillId="0" borderId="18" xfId="0" applyNumberFormat="1" applyFont="1" applyFill="1" applyBorder="1" applyAlignment="1">
      <alignment horizontal="right" vertical="center"/>
    </xf>
    <xf numFmtId="165" fontId="3" fillId="0" borderId="4" xfId="0" applyNumberFormat="1" applyFont="1" applyFill="1" applyBorder="1" applyAlignment="1">
      <alignment horizontal="right"/>
    </xf>
    <xf numFmtId="165" fontId="13" fillId="0" borderId="4" xfId="0" applyNumberFormat="1" applyFont="1" applyFill="1" applyBorder="1" applyAlignment="1">
      <alignment horizontal="right"/>
    </xf>
    <xf numFmtId="165" fontId="1" fillId="0" borderId="5" xfId="0" applyNumberFormat="1" applyFont="1" applyFill="1" applyBorder="1" applyAlignment="1"/>
    <xf numFmtId="165" fontId="3" fillId="0" borderId="22" xfId="0" applyNumberFormat="1" applyFont="1" applyFill="1" applyBorder="1" applyAlignment="1">
      <alignment horizontal="right" vertical="center"/>
    </xf>
    <xf numFmtId="165" fontId="1" fillId="0" borderId="7" xfId="0" applyNumberFormat="1" applyFont="1" applyFill="1" applyBorder="1" applyAlignment="1"/>
    <xf numFmtId="164" fontId="8" fillId="0" borderId="12" xfId="0" applyNumberFormat="1" applyFont="1" applyFill="1" applyBorder="1"/>
    <xf numFmtId="164" fontId="8" fillId="0" borderId="17" xfId="0" applyNumberFormat="1" applyFont="1" applyFill="1" applyBorder="1"/>
    <xf numFmtId="2" fontId="3" fillId="0" borderId="18" xfId="0" applyNumberFormat="1" applyFont="1" applyFill="1" applyBorder="1" applyAlignment="1">
      <alignment horizontal="right" vertical="center"/>
    </xf>
    <xf numFmtId="2" fontId="13" fillId="0" borderId="4" xfId="0" applyNumberFormat="1" applyFont="1" applyFill="1" applyBorder="1" applyAlignment="1">
      <alignment horizontal="right"/>
    </xf>
    <xf numFmtId="1" fontId="11" fillId="0" borderId="14" xfId="0" applyNumberFormat="1" applyFont="1" applyFill="1" applyBorder="1"/>
    <xf numFmtId="2" fontId="3" fillId="0" borderId="22" xfId="0" applyNumberFormat="1" applyFont="1" applyFill="1" applyBorder="1" applyAlignment="1">
      <alignment horizontal="right" vertical="center"/>
    </xf>
    <xf numFmtId="1" fontId="8" fillId="0" borderId="10" xfId="0" applyNumberFormat="1" applyFont="1" applyFill="1" applyBorder="1"/>
    <xf numFmtId="164" fontId="8" fillId="0" borderId="15" xfId="0" applyNumberFormat="1" applyFont="1" applyFill="1" applyBorder="1"/>
    <xf numFmtId="1" fontId="8" fillId="0" borderId="17" xfId="0" applyNumberFormat="1" applyFont="1" applyFill="1" applyBorder="1"/>
    <xf numFmtId="164" fontId="9" fillId="0" borderId="15" xfId="0" applyNumberFormat="1" applyFont="1" applyFill="1" applyBorder="1" applyAlignment="1">
      <alignment wrapText="1"/>
    </xf>
    <xf numFmtId="165" fontId="8" fillId="0" borderId="15" xfId="0" applyNumberFormat="1" applyFont="1" applyFill="1" applyBorder="1"/>
    <xf numFmtId="164" fontId="14" fillId="0" borderId="15" xfId="0" applyNumberFormat="1" applyFont="1" applyFill="1" applyBorder="1"/>
    <xf numFmtId="165" fontId="14" fillId="0" borderId="7" xfId="0" applyNumberFormat="1" applyFont="1" applyFill="1" applyBorder="1"/>
    <xf numFmtId="164" fontId="3" fillId="0" borderId="11" xfId="0" applyNumberFormat="1" applyFont="1" applyFill="1" applyBorder="1"/>
    <xf numFmtId="164" fontId="3" fillId="0" borderId="10" xfId="0" applyNumberFormat="1" applyFont="1" applyFill="1" applyBorder="1"/>
    <xf numFmtId="164" fontId="3" fillId="0" borderId="15" xfId="0" applyNumberFormat="1" applyFont="1" applyFill="1" applyBorder="1" applyAlignment="1"/>
    <xf numFmtId="2" fontId="3" fillId="0" borderId="16" xfId="0" applyNumberFormat="1" applyFont="1" applyFill="1" applyBorder="1" applyAlignment="1">
      <alignment horizontal="right" vertical="center"/>
    </xf>
    <xf numFmtId="165" fontId="3" fillId="0" borderId="15" xfId="0" applyNumberFormat="1" applyFont="1" applyFill="1" applyBorder="1" applyAlignment="1"/>
    <xf numFmtId="1" fontId="8" fillId="0" borderId="16" xfId="0" applyNumberFormat="1" applyFont="1" applyFill="1" applyBorder="1"/>
    <xf numFmtId="164" fontId="8" fillId="0" borderId="16" xfId="0" applyNumberFormat="1" applyFont="1" applyFill="1" applyBorder="1"/>
    <xf numFmtId="165" fontId="8" fillId="0" borderId="18" xfId="0" applyNumberFormat="1" applyFont="1" applyFill="1" applyBorder="1" applyAlignment="1"/>
    <xf numFmtId="165" fontId="8" fillId="0" borderId="22" xfId="0" applyNumberFormat="1" applyFont="1" applyFill="1" applyBorder="1" applyAlignment="1"/>
    <xf numFmtId="164" fontId="3" fillId="0" borderId="12" xfId="0" applyNumberFormat="1" applyFont="1" applyFill="1" applyBorder="1"/>
    <xf numFmtId="164" fontId="3" fillId="0" borderId="17" xfId="0" applyNumberFormat="1" applyFont="1" applyFill="1" applyBorder="1"/>
    <xf numFmtId="165" fontId="15" fillId="0" borderId="7" xfId="0" applyNumberFormat="1" applyFont="1" applyFill="1" applyBorder="1" applyAlignment="1">
      <alignment horizontal="right" vertical="center"/>
    </xf>
    <xf numFmtId="2" fontId="8" fillId="0" borderId="4" xfId="0" applyNumberFormat="1" applyFont="1" applyFill="1" applyBorder="1" applyAlignment="1"/>
    <xf numFmtId="164" fontId="0" fillId="0" borderId="15" xfId="0" applyNumberFormat="1" applyFill="1" applyBorder="1"/>
    <xf numFmtId="164" fontId="1" fillId="0" borderId="15" xfId="0" applyNumberFormat="1" applyFont="1" applyFill="1" applyBorder="1"/>
    <xf numFmtId="164" fontId="8" fillId="0" borderId="16" xfId="0" applyNumberFormat="1" applyFont="1" applyFill="1" applyBorder="1" applyAlignment="1"/>
    <xf numFmtId="165" fontId="8" fillId="0" borderId="16" xfId="0" applyNumberFormat="1" applyFont="1" applyFill="1" applyBorder="1" applyAlignment="1"/>
    <xf numFmtId="0" fontId="8" fillId="0" borderId="30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49" fontId="8" fillId="0" borderId="24" xfId="0" applyNumberFormat="1" applyFont="1" applyBorder="1" applyAlignment="1">
      <alignment horizontal="left" vertical="center"/>
    </xf>
    <xf numFmtId="49" fontId="8" fillId="0" borderId="25" xfId="0" applyNumberFormat="1" applyFont="1" applyBorder="1" applyAlignment="1">
      <alignment horizontal="left" vertical="center"/>
    </xf>
    <xf numFmtId="49" fontId="8" fillId="0" borderId="27" xfId="0" applyNumberFormat="1" applyFont="1" applyBorder="1" applyAlignment="1">
      <alignment horizontal="left" vertical="center"/>
    </xf>
    <xf numFmtId="49" fontId="8" fillId="0" borderId="28" xfId="0" applyNumberFormat="1" applyFont="1" applyBorder="1" applyAlignment="1">
      <alignment horizontal="left" vertical="center"/>
    </xf>
    <xf numFmtId="49" fontId="8" fillId="0" borderId="26" xfId="0" applyNumberFormat="1" applyFont="1" applyBorder="1" applyAlignment="1">
      <alignment horizontal="left" vertical="center"/>
    </xf>
    <xf numFmtId="0" fontId="8" fillId="0" borderId="24" xfId="0" applyFont="1" applyBorder="1" applyAlignment="1">
      <alignment horizontal="left"/>
    </xf>
    <xf numFmtId="0" fontId="8" fillId="0" borderId="27" xfId="0" applyFont="1" applyBorder="1" applyAlignment="1">
      <alignment horizontal="left"/>
    </xf>
    <xf numFmtId="0" fontId="8" fillId="0" borderId="11" xfId="0" applyFont="1" applyBorder="1" applyAlignment="1">
      <alignment horizontal="center" wrapText="1"/>
    </xf>
    <xf numFmtId="0" fontId="8" fillId="0" borderId="22" xfId="0" applyFont="1" applyBorder="1" applyAlignment="1">
      <alignment horizontal="center" wrapText="1"/>
    </xf>
    <xf numFmtId="0" fontId="8" fillId="0" borderId="8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8" fillId="0" borderId="29" xfId="0" applyFont="1" applyBorder="1" applyAlignment="1">
      <alignment horizontal="center" wrapText="1"/>
    </xf>
    <xf numFmtId="0" fontId="8" fillId="0" borderId="28" xfId="0" applyFont="1" applyBorder="1" applyAlignment="1">
      <alignment horizontal="left" vertical="center"/>
    </xf>
    <xf numFmtId="0" fontId="8" fillId="0" borderId="25" xfId="0" applyFont="1" applyBorder="1" applyAlignment="1">
      <alignment horizontal="left" vertical="center"/>
    </xf>
    <xf numFmtId="0" fontId="8" fillId="0" borderId="27" xfId="0" applyFon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O83"/>
  <sheetViews>
    <sheetView workbookViewId="0">
      <selection activeCell="C4" sqref="C4:G45"/>
    </sheetView>
  </sheetViews>
  <sheetFormatPr defaultRowHeight="15"/>
  <cols>
    <col min="1" max="1" width="14.28515625" customWidth="1"/>
    <col min="2" max="2" width="13.28515625" customWidth="1"/>
    <col min="3" max="3" width="5" bestFit="1" customWidth="1"/>
    <col min="4" max="4" width="9.5703125" customWidth="1"/>
    <col min="5" max="5" width="13" customWidth="1"/>
    <col min="6" max="6" width="9.28515625" customWidth="1"/>
    <col min="7" max="7" width="13.140625" customWidth="1"/>
    <col min="10" max="10" width="10.28515625" bestFit="1" customWidth="1"/>
  </cols>
  <sheetData>
    <row r="1" spans="1:7" ht="15.75" thickBot="1"/>
    <row r="2" spans="1:7" ht="15" customHeight="1" thickBot="1">
      <c r="A2" s="182"/>
      <c r="B2" s="174" t="s">
        <v>23</v>
      </c>
      <c r="C2" s="175"/>
      <c r="D2" s="175"/>
      <c r="E2" s="175"/>
      <c r="F2" s="175"/>
      <c r="G2" s="176"/>
    </row>
    <row r="3" spans="1:7" ht="15.75" customHeight="1" thickBot="1">
      <c r="A3" s="183"/>
      <c r="B3" s="96" t="s">
        <v>22</v>
      </c>
      <c r="C3" s="77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7" ht="18.75">
      <c r="A4" s="177" t="s">
        <v>1</v>
      </c>
      <c r="B4" s="85" t="s">
        <v>16</v>
      </c>
      <c r="C4" s="1">
        <v>20.302577033045811</v>
      </c>
      <c r="D4" s="74">
        <v>128.60436568924524</v>
      </c>
      <c r="E4" s="14">
        <v>88.13291264419189</v>
      </c>
      <c r="F4" s="14">
        <v>99.152641116362673</v>
      </c>
      <c r="G4" s="75">
        <v>6.1155195630308725</v>
      </c>
    </row>
    <row r="5" spans="1:7" ht="18.75">
      <c r="A5" s="178"/>
      <c r="B5" s="16" t="s">
        <v>17</v>
      </c>
      <c r="C5" s="110">
        <v>0.95192580078335398</v>
      </c>
      <c r="D5" s="4">
        <v>2.7721535122301395</v>
      </c>
      <c r="E5" s="6">
        <v>-0.14209331028611835</v>
      </c>
      <c r="F5" s="6">
        <v>-0.14209331028611835</v>
      </c>
      <c r="G5" s="87">
        <v>-0.57134965698368556</v>
      </c>
    </row>
    <row r="6" spans="1:7" ht="15.75">
      <c r="A6" s="178"/>
      <c r="B6" s="83" t="s">
        <v>18</v>
      </c>
      <c r="C6" s="111">
        <v>2.804115740402319E-5</v>
      </c>
      <c r="D6" s="71">
        <v>0.67019426822662354</v>
      </c>
      <c r="E6" s="7">
        <v>0.60288395527964944</v>
      </c>
      <c r="F6" s="7">
        <v>0.60288395527964944</v>
      </c>
      <c r="G6" s="5">
        <v>4.1663514077932117E-5</v>
      </c>
    </row>
    <row r="7" spans="1:7" ht="18.75">
      <c r="A7" s="178"/>
      <c r="B7" s="84" t="s">
        <v>19</v>
      </c>
      <c r="C7" s="78">
        <v>21.291096983045797</v>
      </c>
      <c r="D7" s="13">
        <v>128.60436568924524</v>
      </c>
      <c r="E7" s="112">
        <v>83.809563674667146</v>
      </c>
      <c r="F7" s="11">
        <v>99.468991826528935</v>
      </c>
      <c r="G7" s="113">
        <v>5.8476427197864549</v>
      </c>
    </row>
    <row r="8" spans="1:7" ht="18.75">
      <c r="A8" s="178"/>
      <c r="B8" s="16" t="s">
        <v>20</v>
      </c>
      <c r="C8" s="79">
        <v>0.98851994999998638</v>
      </c>
      <c r="D8" s="114">
        <v>0.31905424465193583</v>
      </c>
      <c r="E8" s="11">
        <v>-4.3233489695247442</v>
      </c>
      <c r="F8" s="11">
        <v>0.31905424465193583</v>
      </c>
      <c r="G8" s="115">
        <v>-0.26787684324441763</v>
      </c>
    </row>
    <row r="9" spans="1:7" ht="16.5" thickBot="1">
      <c r="A9" s="181"/>
      <c r="B9" s="17" t="s">
        <v>21</v>
      </c>
      <c r="C9" s="88">
        <v>1.8153369579274805E-3</v>
      </c>
      <c r="D9" s="116">
        <v>0.55631066487810754</v>
      </c>
      <c r="E9" s="117">
        <v>1.4636349754290149E-2</v>
      </c>
      <c r="F9" s="89">
        <v>0.55631066487810754</v>
      </c>
      <c r="G9" s="118">
        <v>5.2918440382808372E-2</v>
      </c>
    </row>
    <row r="10" spans="1:7" ht="18.75">
      <c r="A10" s="177" t="s">
        <v>2</v>
      </c>
      <c r="B10" s="15" t="s">
        <v>16</v>
      </c>
      <c r="C10" s="1">
        <v>11.770437346673683</v>
      </c>
      <c r="D10" s="74">
        <v>97.735853119475721</v>
      </c>
      <c r="E10" s="14">
        <v>97.499446366648073</v>
      </c>
      <c r="F10" s="14">
        <v>91.172165549031121</v>
      </c>
      <c r="G10" s="75">
        <v>6.2198049682513306</v>
      </c>
    </row>
    <row r="11" spans="1:7" ht="18.75">
      <c r="A11" s="178"/>
      <c r="B11" s="16" t="s">
        <v>17</v>
      </c>
      <c r="C11" s="110">
        <v>0.23388115961896</v>
      </c>
      <c r="D11" s="4">
        <v>10.811535754329331</v>
      </c>
      <c r="E11" s="6">
        <v>2.7587625459067984</v>
      </c>
      <c r="F11" s="6">
        <v>2.7587625459067984</v>
      </c>
      <c r="G11" s="87">
        <v>0.22102867465840031</v>
      </c>
    </row>
    <row r="12" spans="1:7" ht="15.75">
      <c r="A12" s="178"/>
      <c r="B12" s="83" t="s">
        <v>18</v>
      </c>
      <c r="C12" s="119">
        <v>0.29062007371005583</v>
      </c>
      <c r="D12" s="71">
        <v>6.6827379167079926E-2</v>
      </c>
      <c r="E12" s="7">
        <v>3.488710811944138E-2</v>
      </c>
      <c r="F12" s="7">
        <v>3.488710811944138E-2</v>
      </c>
      <c r="G12" s="5">
        <v>1.1252089793326368E-2</v>
      </c>
    </row>
    <row r="13" spans="1:7" ht="18.75">
      <c r="A13" s="178"/>
      <c r="B13" s="84" t="s">
        <v>19</v>
      </c>
      <c r="C13" s="12">
        <v>13.390931296673683</v>
      </c>
      <c r="D13" s="13">
        <v>97</v>
      </c>
      <c r="E13" s="112">
        <v>99.197681260945231</v>
      </c>
      <c r="F13" s="11">
        <v>90.84626352701963</v>
      </c>
      <c r="G13" s="113">
        <v>6.3010203648522607</v>
      </c>
    </row>
    <row r="14" spans="1:7" ht="18.75">
      <c r="A14" s="178"/>
      <c r="B14" s="16" t="s">
        <v>20</v>
      </c>
      <c r="C14" s="79">
        <v>1.6204939500000002</v>
      </c>
      <c r="D14" s="114">
        <v>-0.35745780529499638</v>
      </c>
      <c r="E14" s="11">
        <v>1.6982348942971583</v>
      </c>
      <c r="F14" s="11">
        <v>-0.35745780529499638</v>
      </c>
      <c r="G14" s="115">
        <v>8.1215396600930134E-2</v>
      </c>
    </row>
    <row r="15" spans="1:7" ht="16.5" thickBot="1">
      <c r="A15" s="179"/>
      <c r="B15" s="18" t="s">
        <v>21</v>
      </c>
      <c r="C15" s="80">
        <v>1.9077153461978753E-6</v>
      </c>
      <c r="D15" s="120">
        <v>0.8339139926996566</v>
      </c>
      <c r="E15" s="121">
        <v>6.6768756764505763E-2</v>
      </c>
      <c r="F15" s="76">
        <v>0.8339139926996566</v>
      </c>
      <c r="G15" s="122">
        <v>0.55232526322242004</v>
      </c>
    </row>
    <row r="16" spans="1:7" ht="18.75">
      <c r="A16" s="180" t="s">
        <v>3</v>
      </c>
      <c r="B16" s="85" t="s">
        <v>16</v>
      </c>
      <c r="C16" s="2">
        <v>2.7549393168140974</v>
      </c>
      <c r="D16" s="73">
        <v>45.779951871053534</v>
      </c>
      <c r="E16" s="3">
        <v>89.882085326064939</v>
      </c>
      <c r="F16" s="3">
        <v>76.674182049802567</v>
      </c>
      <c r="G16" s="86">
        <v>3.4506640803939481</v>
      </c>
    </row>
    <row r="17" spans="1:7" ht="18.75">
      <c r="A17" s="178"/>
      <c r="B17" s="16" t="s">
        <v>17</v>
      </c>
      <c r="C17" s="81">
        <v>1.24762784949599</v>
      </c>
      <c r="D17" s="4">
        <v>2.2931914103287974</v>
      </c>
      <c r="E17" s="6">
        <v>2.5732904869104245</v>
      </c>
      <c r="F17" s="6">
        <v>2.5732904869104245</v>
      </c>
      <c r="G17" s="87">
        <v>0.21740573108369837</v>
      </c>
    </row>
    <row r="18" spans="1:7" ht="15.75">
      <c r="A18" s="178"/>
      <c r="B18" s="83" t="s">
        <v>18</v>
      </c>
      <c r="C18" s="82">
        <v>1.8066983871917915E-2</v>
      </c>
      <c r="D18" s="71">
        <v>0.5414537787437439</v>
      </c>
      <c r="E18" s="72">
        <v>0.34554519858464738</v>
      </c>
      <c r="F18" s="72">
        <v>0.34554519858464738</v>
      </c>
      <c r="G18" s="5">
        <v>0.14618961832012423</v>
      </c>
    </row>
    <row r="19" spans="1:7" ht="18.75">
      <c r="A19" s="178"/>
      <c r="B19" s="84" t="s">
        <v>19</v>
      </c>
      <c r="C19" s="12">
        <v>3.8868678501474334</v>
      </c>
      <c r="D19" s="13">
        <v>45.779951871053534</v>
      </c>
      <c r="E19" s="112">
        <v>89.695056200259359</v>
      </c>
      <c r="F19" s="11">
        <v>77.415929000132436</v>
      </c>
      <c r="G19" s="113">
        <v>3.4921864594600134</v>
      </c>
    </row>
    <row r="20" spans="1:7" ht="18.75">
      <c r="A20" s="178"/>
      <c r="B20" s="16" t="s">
        <v>20</v>
      </c>
      <c r="C20" s="79">
        <v>1.131928533333336</v>
      </c>
      <c r="D20" s="114">
        <v>0.96740119098769672</v>
      </c>
      <c r="E20" s="11">
        <v>-0.18702912580558007</v>
      </c>
      <c r="F20" s="11">
        <v>0.96740119098769672</v>
      </c>
      <c r="G20" s="115">
        <v>4.1522379066065263E-2</v>
      </c>
    </row>
    <row r="21" spans="1:7" ht="16.5" thickBot="1">
      <c r="A21" s="181"/>
      <c r="B21" s="17" t="s">
        <v>21</v>
      </c>
      <c r="C21" s="88">
        <v>7.9019795953518147E-3</v>
      </c>
      <c r="D21" s="116">
        <v>0.72623887346671379</v>
      </c>
      <c r="E21" s="89">
        <v>0.87490408725227709</v>
      </c>
      <c r="F21" s="89">
        <v>0.72623887346671379</v>
      </c>
      <c r="G21" s="118">
        <v>0.74702943143160327</v>
      </c>
    </row>
    <row r="22" spans="1:7" ht="18.75">
      <c r="A22" s="177" t="s">
        <v>4</v>
      </c>
      <c r="B22" s="15" t="s">
        <v>16</v>
      </c>
      <c r="C22" s="1">
        <v>-2.3150688687790497</v>
      </c>
      <c r="D22" s="74">
        <v>120.50913913699482</v>
      </c>
      <c r="E22" s="14">
        <v>93.606801015969594</v>
      </c>
      <c r="F22" s="14">
        <v>97.675921358653355</v>
      </c>
      <c r="G22" s="75">
        <v>26.509013686441158</v>
      </c>
    </row>
    <row r="23" spans="1:7" ht="18.75">
      <c r="A23" s="178"/>
      <c r="B23" s="16" t="s">
        <v>17</v>
      </c>
      <c r="C23" s="110">
        <v>0.36420637295438302</v>
      </c>
      <c r="D23" s="4">
        <v>3.9949787000154249</v>
      </c>
      <c r="E23" s="7">
        <v>-1.6363990740644221E-2</v>
      </c>
      <c r="F23" s="7">
        <v>-1.6363990740644221E-2</v>
      </c>
      <c r="G23" s="87">
        <v>0.43702535986074087</v>
      </c>
    </row>
    <row r="24" spans="1:7" ht="15.75">
      <c r="A24" s="178"/>
      <c r="B24" s="83" t="s">
        <v>18</v>
      </c>
      <c r="C24" s="119">
        <v>0.39393867907253399</v>
      </c>
      <c r="D24" s="71">
        <v>0.50766658782958984</v>
      </c>
      <c r="E24" s="72">
        <v>0.72392838940441084</v>
      </c>
      <c r="F24" s="72">
        <v>0.72392838940441084</v>
      </c>
      <c r="G24" s="5">
        <v>0.45977690446274599</v>
      </c>
    </row>
    <row r="25" spans="1:7" ht="18.75">
      <c r="A25" s="178"/>
      <c r="B25" s="84" t="s">
        <v>19</v>
      </c>
      <c r="C25" s="12">
        <v>-0.93999701322349427</v>
      </c>
      <c r="D25" s="13">
        <v>120</v>
      </c>
      <c r="E25" s="112">
        <v>90.389697445272162</v>
      </c>
      <c r="F25" s="11">
        <v>97.221471112150908</v>
      </c>
      <c r="G25" s="113">
        <v>25.46317289789495</v>
      </c>
    </row>
    <row r="26" spans="1:7" ht="18.75">
      <c r="A26" s="178"/>
      <c r="B26" s="16" t="s">
        <v>20</v>
      </c>
      <c r="C26" s="79">
        <v>1.3750718555555554</v>
      </c>
      <c r="D26" s="114">
        <v>-0.4652633322328949</v>
      </c>
      <c r="E26" s="123">
        <v>-3.2171035706974322</v>
      </c>
      <c r="F26" s="11">
        <v>-0.4652633322328949</v>
      </c>
      <c r="G26" s="124">
        <v>-1.045840788546208</v>
      </c>
    </row>
    <row r="27" spans="1:7" ht="16.5" thickBot="1">
      <c r="A27" s="179"/>
      <c r="B27" s="18" t="s">
        <v>21</v>
      </c>
      <c r="C27" s="80">
        <v>1.4504655138031608E-3</v>
      </c>
      <c r="D27" s="120">
        <v>0.2447115543661974</v>
      </c>
      <c r="E27" s="125">
        <v>8.4352918328716289E-2</v>
      </c>
      <c r="F27" s="76">
        <v>0.2447115543661974</v>
      </c>
      <c r="G27" s="126">
        <v>5.7765410828683889E-2</v>
      </c>
    </row>
    <row r="28" spans="1:7" ht="18.75">
      <c r="A28" s="180" t="s">
        <v>5</v>
      </c>
      <c r="B28" s="85" t="s">
        <v>16</v>
      </c>
      <c r="C28" s="2">
        <v>8.6397165637417963</v>
      </c>
      <c r="D28" s="73">
        <v>135.55860156104109</v>
      </c>
      <c r="E28" s="3">
        <v>97.07335456217983</v>
      </c>
      <c r="F28" s="3">
        <v>98.884671559949581</v>
      </c>
      <c r="G28" s="86">
        <v>34.558984803239277</v>
      </c>
    </row>
    <row r="29" spans="1:7" ht="18.75">
      <c r="A29" s="178"/>
      <c r="B29" s="16" t="s">
        <v>17</v>
      </c>
      <c r="C29" s="81">
        <v>0.49523590592824301</v>
      </c>
      <c r="D29" s="4">
        <v>5.35002438743195</v>
      </c>
      <c r="E29" s="6">
        <v>3.6209646758115652E-2</v>
      </c>
      <c r="F29" s="6">
        <v>3.6209646758115652E-2</v>
      </c>
      <c r="G29" s="87">
        <v>-0.11187812330866392</v>
      </c>
    </row>
    <row r="30" spans="1:7" ht="15.75">
      <c r="A30" s="178"/>
      <c r="B30" s="83" t="s">
        <v>18</v>
      </c>
      <c r="C30" s="82">
        <v>4.3617726571352135E-2</v>
      </c>
      <c r="D30" s="71">
        <v>0.31758099794387817</v>
      </c>
      <c r="E30" s="7">
        <v>0.90027797641080032</v>
      </c>
      <c r="F30" s="7">
        <v>0.90027797641080032</v>
      </c>
      <c r="G30" s="5">
        <v>0.72215489719800019</v>
      </c>
    </row>
    <row r="31" spans="1:7" ht="18.75">
      <c r="A31" s="178"/>
      <c r="B31" s="84" t="s">
        <v>19</v>
      </c>
      <c r="C31" s="12">
        <v>9.4346191415195726</v>
      </c>
      <c r="D31" s="13">
        <v>135</v>
      </c>
      <c r="E31" s="112">
        <v>92.647333072264033</v>
      </c>
      <c r="F31" s="11">
        <v>98.705966144654937</v>
      </c>
      <c r="G31" s="113">
        <v>32.914485012545853</v>
      </c>
    </row>
    <row r="32" spans="1:7" ht="18.75">
      <c r="A32" s="178"/>
      <c r="B32" s="16" t="s">
        <v>20</v>
      </c>
      <c r="C32" s="79">
        <v>0.79490257777777629</v>
      </c>
      <c r="D32" s="114">
        <v>-0.18072104854624005</v>
      </c>
      <c r="E32" s="11">
        <v>-4.4260214899157972</v>
      </c>
      <c r="F32" s="11">
        <v>-0.18072104854624005</v>
      </c>
      <c r="G32" s="124">
        <v>-1.6444997906934233</v>
      </c>
    </row>
    <row r="33" spans="1:15" ht="16.5" thickBot="1">
      <c r="A33" s="181"/>
      <c r="B33" s="17" t="s">
        <v>21</v>
      </c>
      <c r="C33" s="88">
        <v>4.8975099495274861E-4</v>
      </c>
      <c r="D33" s="116">
        <v>0.45847840382132998</v>
      </c>
      <c r="E33" s="117">
        <v>5.4860207660757773E-4</v>
      </c>
      <c r="F33" s="89">
        <v>0.45847840382132998</v>
      </c>
      <c r="G33" s="127">
        <v>4.8462162310009959E-4</v>
      </c>
    </row>
    <row r="34" spans="1:15" ht="18.75">
      <c r="A34" s="177" t="s">
        <v>6</v>
      </c>
      <c r="B34" s="15" t="s">
        <v>16</v>
      </c>
      <c r="C34" s="1">
        <v>18.498833112256523</v>
      </c>
      <c r="D34" s="74">
        <v>74.275171168539515</v>
      </c>
      <c r="E34" s="14">
        <v>92.677489858301612</v>
      </c>
      <c r="F34" s="14">
        <v>82.558455713626415</v>
      </c>
      <c r="G34" s="75">
        <v>6.8715723732599221</v>
      </c>
    </row>
    <row r="35" spans="1:15" ht="18.75">
      <c r="A35" s="178"/>
      <c r="B35" s="16" t="s">
        <v>17</v>
      </c>
      <c r="C35" s="81">
        <v>0.57561582829354196</v>
      </c>
      <c r="D35" s="4">
        <v>-4.4976057335817412</v>
      </c>
      <c r="E35" s="6">
        <v>1.8328169645483186</v>
      </c>
      <c r="F35" s="6">
        <v>1.8328169645483186</v>
      </c>
      <c r="G35" s="87">
        <v>-9.5344324467014505E-2</v>
      </c>
    </row>
    <row r="36" spans="1:15" ht="15.75">
      <c r="A36" s="178"/>
      <c r="B36" s="83" t="s">
        <v>18</v>
      </c>
      <c r="C36" s="82">
        <v>4.43579327653928E-2</v>
      </c>
      <c r="D36" s="71">
        <v>0.24359624087810516</v>
      </c>
      <c r="E36" s="72">
        <v>0.273878430525204</v>
      </c>
      <c r="F36" s="72">
        <v>0.273878430525204</v>
      </c>
      <c r="G36" s="5">
        <v>0.60181388223026455</v>
      </c>
    </row>
    <row r="37" spans="1:15" ht="18.75">
      <c r="A37" s="178"/>
      <c r="B37" s="84" t="s">
        <v>19</v>
      </c>
      <c r="C37" s="12">
        <v>19.550693812256522</v>
      </c>
      <c r="D37" s="13">
        <v>73</v>
      </c>
      <c r="E37" s="112">
        <v>90.170289443297278</v>
      </c>
      <c r="F37" s="11">
        <v>80.910845375364445</v>
      </c>
      <c r="G37" s="113">
        <v>6.5306688489908282</v>
      </c>
    </row>
    <row r="38" spans="1:15" ht="18.75">
      <c r="A38" s="178"/>
      <c r="B38" s="16" t="s">
        <v>20</v>
      </c>
      <c r="C38" s="79">
        <v>1.0518606999999989</v>
      </c>
      <c r="D38" s="114">
        <v>-1.9956893864113676</v>
      </c>
      <c r="E38" s="11">
        <v>-2.5072004150043341</v>
      </c>
      <c r="F38" s="11">
        <v>-1.9956893864113676</v>
      </c>
      <c r="G38" s="124">
        <v>-0.34090352426909387</v>
      </c>
    </row>
    <row r="39" spans="1:15" ht="16.5" thickBot="1">
      <c r="A39" s="179"/>
      <c r="B39" s="18" t="s">
        <v>21</v>
      </c>
      <c r="C39" s="80">
        <v>2.5120011911417938E-4</v>
      </c>
      <c r="D39" s="120">
        <v>0.40446726642084119</v>
      </c>
      <c r="E39" s="121">
        <v>2.3012456746305684E-3</v>
      </c>
      <c r="F39" s="76">
        <v>0.40446726642084119</v>
      </c>
      <c r="G39" s="126">
        <v>3.023303035734199E-2</v>
      </c>
    </row>
    <row r="40" spans="1:15" ht="18.75">
      <c r="A40" s="180" t="s">
        <v>7</v>
      </c>
      <c r="B40" s="85" t="s">
        <v>16</v>
      </c>
      <c r="C40" s="2">
        <v>20.659466004997185</v>
      </c>
      <c r="D40" s="73">
        <v>72.558255626036427</v>
      </c>
      <c r="E40" s="3">
        <v>95.83263846099382</v>
      </c>
      <c r="F40" s="3">
        <v>78.099420835241872</v>
      </c>
      <c r="G40" s="86">
        <v>5.245483901439278</v>
      </c>
    </row>
    <row r="41" spans="1:15" ht="18.75">
      <c r="A41" s="178"/>
      <c r="B41" s="16" t="s">
        <v>17</v>
      </c>
      <c r="C41" s="81">
        <v>0.99456559096632502</v>
      </c>
      <c r="D41" s="4">
        <v>1.8235552454195623</v>
      </c>
      <c r="E41" s="6">
        <v>-0.84844885552931104</v>
      </c>
      <c r="F41" s="6">
        <v>-0.84844885552931104</v>
      </c>
      <c r="G41" s="87">
        <v>4.5566528390296977E-2</v>
      </c>
    </row>
    <row r="42" spans="1:15" ht="15.75">
      <c r="A42" s="178"/>
      <c r="B42" s="83" t="s">
        <v>18</v>
      </c>
      <c r="C42" s="82">
        <v>9.0484342699790352E-4</v>
      </c>
      <c r="D42" s="71">
        <v>0.73721367120742798</v>
      </c>
      <c r="E42" s="7">
        <v>0.72225305840431242</v>
      </c>
      <c r="F42" s="7">
        <v>0.72225305840431242</v>
      </c>
      <c r="G42" s="128">
        <v>0.79651987834459681</v>
      </c>
    </row>
    <row r="43" spans="1:15" ht="18.75">
      <c r="A43" s="178"/>
      <c r="B43" s="84" t="s">
        <v>19</v>
      </c>
      <c r="C43" s="12">
        <v>21.430242738330517</v>
      </c>
      <c r="D43" s="13">
        <v>72</v>
      </c>
      <c r="E43" s="112">
        <v>99.264859537319523</v>
      </c>
      <c r="F43" s="11">
        <v>77.202444337512489</v>
      </c>
      <c r="G43" s="113">
        <v>5.3714767925820421</v>
      </c>
    </row>
    <row r="44" spans="1:15" ht="18.75">
      <c r="A44" s="178"/>
      <c r="B44" s="16" t="s">
        <v>20</v>
      </c>
      <c r="C44" s="79">
        <v>0.77077673333333152</v>
      </c>
      <c r="D44" s="114">
        <v>-1.1485059532280557</v>
      </c>
      <c r="E44" s="11">
        <v>3.4322210763257033</v>
      </c>
      <c r="F44" s="11">
        <v>-1.1485059532280557</v>
      </c>
      <c r="G44" s="115">
        <v>0.12599289114276413</v>
      </c>
    </row>
    <row r="45" spans="1:15" ht="16.5" thickBot="1">
      <c r="A45" s="179"/>
      <c r="B45" s="18" t="s">
        <v>21</v>
      </c>
      <c r="C45" s="80">
        <v>1.9622963199167821E-2</v>
      </c>
      <c r="D45" s="120">
        <v>0.72571291016438966</v>
      </c>
      <c r="E45" s="121">
        <v>2.5711393806644636E-2</v>
      </c>
      <c r="F45" s="76">
        <v>0.72571291016438966</v>
      </c>
      <c r="G45" s="122">
        <v>0.55877404527869401</v>
      </c>
    </row>
    <row r="46" spans="1:15">
      <c r="I46" s="8"/>
      <c r="J46" s="8"/>
      <c r="K46" s="8"/>
      <c r="L46" s="8"/>
      <c r="M46" s="8"/>
      <c r="N46" s="8"/>
      <c r="O46" s="8"/>
    </row>
    <row r="49" spans="1:9" ht="15.75">
      <c r="A49" s="65">
        <v>26</v>
      </c>
      <c r="B49" s="98">
        <v>13</v>
      </c>
      <c r="C49" s="99">
        <v>51</v>
      </c>
      <c r="D49" s="100">
        <f>C4</f>
        <v>20.302577033045811</v>
      </c>
      <c r="E49" s="100">
        <f>C5</f>
        <v>0.95192580078335398</v>
      </c>
      <c r="F49" s="97">
        <f>C6</f>
        <v>2.804115740402319E-5</v>
      </c>
      <c r="G49" s="100">
        <f>C7</f>
        <v>21.291096983045797</v>
      </c>
      <c r="H49" s="100">
        <f>C8</f>
        <v>0.98851994999998638</v>
      </c>
      <c r="I49" s="97">
        <f>C9</f>
        <v>1.8153369579274805E-3</v>
      </c>
    </row>
    <row r="50" spans="1:9" ht="15.75">
      <c r="A50" s="65">
        <v>26</v>
      </c>
      <c r="B50" s="98">
        <v>13</v>
      </c>
      <c r="C50" s="99">
        <v>52</v>
      </c>
      <c r="D50" s="100">
        <f>D4</f>
        <v>128.60436568924524</v>
      </c>
      <c r="E50" s="100">
        <f>D5</f>
        <v>2.7721535122301395</v>
      </c>
      <c r="F50" s="97">
        <f>D6</f>
        <v>0.67019426822662354</v>
      </c>
      <c r="G50" s="100">
        <f>D7</f>
        <v>128.60436568924524</v>
      </c>
      <c r="H50" s="100">
        <f>D8</f>
        <v>0.31905424465193583</v>
      </c>
      <c r="I50" s="97">
        <f>D9</f>
        <v>0.55631066487810754</v>
      </c>
    </row>
    <row r="51" spans="1:9" ht="15.75">
      <c r="A51" s="65">
        <v>26</v>
      </c>
      <c r="B51" s="98">
        <v>13</v>
      </c>
      <c r="C51" s="99">
        <v>54</v>
      </c>
      <c r="D51" s="100">
        <f>E4</f>
        <v>88.13291264419189</v>
      </c>
      <c r="E51" s="100">
        <f>E5</f>
        <v>-0.14209331028611835</v>
      </c>
      <c r="F51" s="97">
        <f>E6</f>
        <v>0.60288395527964944</v>
      </c>
      <c r="G51" s="100">
        <f>E7</f>
        <v>83.809563674667146</v>
      </c>
      <c r="H51" s="100">
        <f>E8</f>
        <v>-4.3233489695247442</v>
      </c>
      <c r="I51" s="97">
        <f>E9</f>
        <v>1.4636349754290149E-2</v>
      </c>
    </row>
    <row r="52" spans="1:9" ht="15.75">
      <c r="A52" s="65">
        <v>26</v>
      </c>
      <c r="B52" s="98">
        <v>13</v>
      </c>
      <c r="C52" s="101">
        <v>55</v>
      </c>
      <c r="D52" s="100">
        <f>F4</f>
        <v>99.152641116362673</v>
      </c>
      <c r="E52" s="100">
        <f>F5</f>
        <v>-0.14209331028611835</v>
      </c>
      <c r="F52" s="97">
        <f>F6</f>
        <v>0.60288395527964944</v>
      </c>
      <c r="G52" s="100">
        <f>F7</f>
        <v>99.468991826528935</v>
      </c>
      <c r="H52" s="100">
        <f>F8</f>
        <v>0.31905424465193583</v>
      </c>
      <c r="I52" s="97">
        <f>F9</f>
        <v>0.55631066487810754</v>
      </c>
    </row>
    <row r="53" spans="1:9" ht="15.75">
      <c r="A53" s="65">
        <v>26</v>
      </c>
      <c r="B53" s="98">
        <v>13</v>
      </c>
      <c r="C53" s="101">
        <v>56</v>
      </c>
      <c r="D53" s="100">
        <f>G4</f>
        <v>6.1155195630308725</v>
      </c>
      <c r="E53" s="100">
        <f>G5</f>
        <v>-0.57134965698368556</v>
      </c>
      <c r="F53" s="97">
        <f>G6</f>
        <v>4.1663514077932117E-5</v>
      </c>
      <c r="G53" s="100">
        <f>G7</f>
        <v>5.8476427197864549</v>
      </c>
      <c r="H53" s="100">
        <f>G8</f>
        <v>-0.26787684324441763</v>
      </c>
      <c r="I53" s="97">
        <f>G9</f>
        <v>5.2918440382808372E-2</v>
      </c>
    </row>
    <row r="54" spans="1:9" ht="15.75">
      <c r="A54" s="65">
        <v>26</v>
      </c>
      <c r="B54" s="98">
        <v>14</v>
      </c>
      <c r="C54" s="99">
        <v>51</v>
      </c>
      <c r="D54" s="100">
        <f>C10</f>
        <v>11.770437346673683</v>
      </c>
      <c r="E54" s="100">
        <f>C11</f>
        <v>0.23388115961896</v>
      </c>
      <c r="F54" s="97">
        <f>C12</f>
        <v>0.29062007371005583</v>
      </c>
      <c r="G54" s="100">
        <f>C13</f>
        <v>13.390931296673683</v>
      </c>
      <c r="H54" s="100">
        <f>C14</f>
        <v>1.6204939500000002</v>
      </c>
      <c r="I54" s="97">
        <f>C15</f>
        <v>1.9077153461978753E-6</v>
      </c>
    </row>
    <row r="55" spans="1:9" ht="15.75">
      <c r="A55" s="65">
        <v>26</v>
      </c>
      <c r="B55" s="98">
        <v>14</v>
      </c>
      <c r="C55" s="99">
        <v>52</v>
      </c>
      <c r="D55" s="100">
        <f>D10</f>
        <v>97.735853119475721</v>
      </c>
      <c r="E55" s="100">
        <f>D11</f>
        <v>10.811535754329331</v>
      </c>
      <c r="F55" s="97">
        <f>D12</f>
        <v>6.6827379167079926E-2</v>
      </c>
      <c r="G55" s="100">
        <f>D13</f>
        <v>97</v>
      </c>
      <c r="H55" s="100">
        <f>D14</f>
        <v>-0.35745780529499638</v>
      </c>
      <c r="I55" s="97">
        <f>D15</f>
        <v>0.8339139926996566</v>
      </c>
    </row>
    <row r="56" spans="1:9" ht="15.75">
      <c r="A56" s="65">
        <v>26</v>
      </c>
      <c r="B56" s="98">
        <v>14</v>
      </c>
      <c r="C56" s="99">
        <v>54</v>
      </c>
      <c r="D56" s="100">
        <f>E10</f>
        <v>97.499446366648073</v>
      </c>
      <c r="E56" s="100">
        <f>E11</f>
        <v>2.7587625459067984</v>
      </c>
      <c r="F56" s="97">
        <f>E12</f>
        <v>3.488710811944138E-2</v>
      </c>
      <c r="G56" s="100">
        <f>E13</f>
        <v>99.197681260945231</v>
      </c>
      <c r="H56" s="100">
        <f>E14</f>
        <v>1.6982348942971583</v>
      </c>
      <c r="I56" s="97">
        <f>E15</f>
        <v>6.6768756764505763E-2</v>
      </c>
    </row>
    <row r="57" spans="1:9" ht="15.75">
      <c r="A57" s="65">
        <v>26</v>
      </c>
      <c r="B57" s="98">
        <v>14</v>
      </c>
      <c r="C57" s="101">
        <v>55</v>
      </c>
      <c r="D57" s="100">
        <f>F10</f>
        <v>91.172165549031121</v>
      </c>
      <c r="E57" s="100">
        <f>F11</f>
        <v>2.7587625459067984</v>
      </c>
      <c r="F57" s="97">
        <f>F12</f>
        <v>3.488710811944138E-2</v>
      </c>
      <c r="G57" s="100">
        <f>F13</f>
        <v>90.84626352701963</v>
      </c>
      <c r="H57" s="100">
        <f>F14</f>
        <v>-0.35745780529499638</v>
      </c>
      <c r="I57" s="97">
        <f>F15</f>
        <v>0.8339139926996566</v>
      </c>
    </row>
    <row r="58" spans="1:9" ht="15.75">
      <c r="A58" s="65">
        <v>26</v>
      </c>
      <c r="B58" s="98">
        <v>14</v>
      </c>
      <c r="C58" s="101">
        <v>56</v>
      </c>
      <c r="D58" s="100">
        <f>G10</f>
        <v>6.2198049682513306</v>
      </c>
      <c r="E58" s="100">
        <f>G11</f>
        <v>0.22102867465840031</v>
      </c>
      <c r="F58" s="97">
        <f>G12</f>
        <v>1.1252089793326368E-2</v>
      </c>
      <c r="G58" s="100">
        <f>G13</f>
        <v>6.3010203648522607</v>
      </c>
      <c r="H58" s="100">
        <f>G14</f>
        <v>8.1215396600930134E-2</v>
      </c>
      <c r="I58" s="97">
        <f>G15</f>
        <v>0.55232526322242004</v>
      </c>
    </row>
    <row r="59" spans="1:9" ht="15.75">
      <c r="A59" s="65">
        <v>26</v>
      </c>
      <c r="B59" s="98">
        <v>15</v>
      </c>
      <c r="C59" s="99">
        <v>51</v>
      </c>
      <c r="D59" s="100">
        <f>C16</f>
        <v>2.7549393168140974</v>
      </c>
      <c r="E59" s="100">
        <f>C17</f>
        <v>1.24762784949599</v>
      </c>
      <c r="F59" s="97">
        <f>C18</f>
        <v>1.8066983871917915E-2</v>
      </c>
      <c r="G59" s="100">
        <f>C19</f>
        <v>3.8868678501474334</v>
      </c>
      <c r="H59" s="100">
        <f>C20</f>
        <v>1.131928533333336</v>
      </c>
      <c r="I59" s="97">
        <f>C21</f>
        <v>7.9019795953518147E-3</v>
      </c>
    </row>
    <row r="60" spans="1:9" ht="15.75">
      <c r="A60" s="65">
        <v>26</v>
      </c>
      <c r="B60" s="98">
        <v>15</v>
      </c>
      <c r="C60" s="99">
        <v>52</v>
      </c>
      <c r="D60" s="100">
        <f>D16</f>
        <v>45.779951871053534</v>
      </c>
      <c r="E60" s="100">
        <f>D17</f>
        <v>2.2931914103287974</v>
      </c>
      <c r="F60" s="97">
        <f>D18</f>
        <v>0.5414537787437439</v>
      </c>
      <c r="G60" s="100">
        <f>D19</f>
        <v>45.779951871053534</v>
      </c>
      <c r="H60" s="100">
        <f>D20</f>
        <v>0.96740119098769672</v>
      </c>
      <c r="I60" s="97">
        <f>D21</f>
        <v>0.72623887346671379</v>
      </c>
    </row>
    <row r="61" spans="1:9" ht="15.75">
      <c r="A61" s="65">
        <v>26</v>
      </c>
      <c r="B61" s="98">
        <v>15</v>
      </c>
      <c r="C61" s="99">
        <v>54</v>
      </c>
      <c r="D61" s="100">
        <f>E16</f>
        <v>89.882085326064939</v>
      </c>
      <c r="E61" s="100">
        <f>E17</f>
        <v>2.5732904869104245</v>
      </c>
      <c r="F61" s="97">
        <f>E18</f>
        <v>0.34554519858464738</v>
      </c>
      <c r="G61" s="100">
        <f>E19</f>
        <v>89.695056200259359</v>
      </c>
      <c r="H61" s="100">
        <f>E20</f>
        <v>-0.18702912580558007</v>
      </c>
      <c r="I61" s="97">
        <f>E21</f>
        <v>0.87490408725227709</v>
      </c>
    </row>
    <row r="62" spans="1:9" ht="15.75">
      <c r="A62" s="65">
        <v>26</v>
      </c>
      <c r="B62" s="98">
        <v>15</v>
      </c>
      <c r="C62" s="101">
        <v>55</v>
      </c>
      <c r="D62" s="102">
        <f>F16</f>
        <v>76.674182049802567</v>
      </c>
      <c r="E62" s="100">
        <f>F17</f>
        <v>2.5732904869104245</v>
      </c>
      <c r="F62" s="97">
        <f>F18</f>
        <v>0.34554519858464738</v>
      </c>
      <c r="G62" s="100">
        <f>F19</f>
        <v>77.415929000132436</v>
      </c>
      <c r="H62" s="100">
        <f>F20</f>
        <v>0.96740119098769672</v>
      </c>
      <c r="I62" s="97">
        <f>F21</f>
        <v>0.72623887346671379</v>
      </c>
    </row>
    <row r="63" spans="1:9" ht="15.75">
      <c r="A63" s="65">
        <v>26</v>
      </c>
      <c r="B63" s="98">
        <v>15</v>
      </c>
      <c r="C63" s="101">
        <v>56</v>
      </c>
      <c r="D63" s="102">
        <f>G16</f>
        <v>3.4506640803939481</v>
      </c>
      <c r="E63" s="100">
        <f>G17</f>
        <v>0.21740573108369837</v>
      </c>
      <c r="F63" s="97">
        <f>G18</f>
        <v>0.14618961832012423</v>
      </c>
      <c r="G63" s="100">
        <f>G19</f>
        <v>3.4921864594600134</v>
      </c>
      <c r="H63" s="100">
        <f>G20</f>
        <v>4.1522379066065263E-2</v>
      </c>
      <c r="I63" s="97">
        <f>G21</f>
        <v>0.74702943143160327</v>
      </c>
    </row>
    <row r="64" spans="1:9" ht="15.75">
      <c r="A64" s="65">
        <v>26</v>
      </c>
      <c r="B64" s="98">
        <v>16</v>
      </c>
      <c r="C64" s="99">
        <v>51</v>
      </c>
      <c r="D64" s="100">
        <f>C22</f>
        <v>-2.3150688687790497</v>
      </c>
      <c r="E64" s="103">
        <f>C23</f>
        <v>0.36420637295438302</v>
      </c>
      <c r="F64" s="104">
        <f>C24</f>
        <v>0.39393867907253399</v>
      </c>
      <c r="G64" s="100">
        <v>-1.4137662549199208</v>
      </c>
      <c r="H64" s="100">
        <v>1.2</v>
      </c>
      <c r="I64" s="97">
        <v>0.01</v>
      </c>
    </row>
    <row r="65" spans="1:9" ht="15.75">
      <c r="A65" s="65">
        <v>26</v>
      </c>
      <c r="B65" s="98">
        <v>16</v>
      </c>
      <c r="C65" s="99">
        <v>52</v>
      </c>
      <c r="D65" s="100">
        <f>D22</f>
        <v>120.50913913699482</v>
      </c>
      <c r="E65" s="103">
        <f>D23</f>
        <v>3.9949787000154249</v>
      </c>
      <c r="F65" s="104">
        <f>D24</f>
        <v>0.50766658782958984</v>
      </c>
      <c r="G65" s="100">
        <f>D25</f>
        <v>120</v>
      </c>
      <c r="H65" s="100">
        <f>D26</f>
        <v>-0.4652633322328949</v>
      </c>
      <c r="I65" s="97">
        <f>D27</f>
        <v>0.2447115543661974</v>
      </c>
    </row>
    <row r="66" spans="1:9" ht="15.75">
      <c r="A66" s="65">
        <v>26</v>
      </c>
      <c r="B66" s="98">
        <v>16</v>
      </c>
      <c r="C66" s="99">
        <v>54</v>
      </c>
      <c r="D66" s="100">
        <f>E22</f>
        <v>93.606801015969594</v>
      </c>
      <c r="E66" s="103">
        <f>E23</f>
        <v>-1.6363990740644221E-2</v>
      </c>
      <c r="F66" s="104">
        <f>E24</f>
        <v>0.72392838940441084</v>
      </c>
      <c r="G66" s="100">
        <f>E25</f>
        <v>90.389697445272162</v>
      </c>
      <c r="H66" s="100">
        <f>E26</f>
        <v>-3.2171035706974322</v>
      </c>
      <c r="I66" s="97">
        <f>E27</f>
        <v>8.4352918328716289E-2</v>
      </c>
    </row>
    <row r="67" spans="1:9" ht="15.75">
      <c r="A67" s="65">
        <v>26</v>
      </c>
      <c r="B67" s="98">
        <v>16</v>
      </c>
      <c r="C67" s="101">
        <v>55</v>
      </c>
      <c r="D67" s="105">
        <f>F22</f>
        <v>97.675921358653355</v>
      </c>
      <c r="E67" s="106">
        <f>F23</f>
        <v>-1.6363990740644221E-2</v>
      </c>
      <c r="F67" s="107">
        <f>F24</f>
        <v>0.72392838940441084</v>
      </c>
      <c r="G67" s="100">
        <f>F25</f>
        <v>97.221471112150908</v>
      </c>
      <c r="H67" s="100">
        <f>F26</f>
        <v>-0.4652633322328949</v>
      </c>
      <c r="I67" s="97">
        <f>F27</f>
        <v>0.2447115543661974</v>
      </c>
    </row>
    <row r="68" spans="1:9" ht="15.75">
      <c r="A68" s="65">
        <v>26</v>
      </c>
      <c r="B68" s="98">
        <v>16</v>
      </c>
      <c r="C68" s="101">
        <v>56</v>
      </c>
      <c r="D68" s="108">
        <f>G22</f>
        <v>26.509013686441158</v>
      </c>
      <c r="E68" s="100">
        <f>G23</f>
        <v>0.43702535986074087</v>
      </c>
      <c r="F68" s="97">
        <f>G24</f>
        <v>0.45977690446274599</v>
      </c>
      <c r="G68" s="100">
        <f>G25</f>
        <v>25.46317289789495</v>
      </c>
      <c r="H68" s="100">
        <f>G23</f>
        <v>0.43702535986074087</v>
      </c>
      <c r="I68" s="97">
        <f>G24</f>
        <v>0.45977690446274599</v>
      </c>
    </row>
    <row r="69" spans="1:9" ht="15.75">
      <c r="A69" s="65">
        <v>26</v>
      </c>
      <c r="B69" s="98">
        <v>17</v>
      </c>
      <c r="C69" s="99">
        <v>51</v>
      </c>
      <c r="D69" s="100">
        <f>C28</f>
        <v>8.6397165637417963</v>
      </c>
      <c r="E69" s="103">
        <f>C29</f>
        <v>0.49523590592824301</v>
      </c>
      <c r="F69" s="104">
        <f>C30</f>
        <v>4.3617726571352135E-2</v>
      </c>
      <c r="G69" s="100">
        <f>C31</f>
        <v>9.4346191415195726</v>
      </c>
      <c r="H69" s="100">
        <f>C32</f>
        <v>0.79490257777777629</v>
      </c>
      <c r="I69" s="97">
        <f>C33</f>
        <v>4.8975099495274861E-4</v>
      </c>
    </row>
    <row r="70" spans="1:9" ht="15.75">
      <c r="A70" s="65">
        <v>26</v>
      </c>
      <c r="B70" s="98">
        <v>17</v>
      </c>
      <c r="C70" s="99">
        <v>52</v>
      </c>
      <c r="D70" s="100">
        <f>D28</f>
        <v>135.55860156104109</v>
      </c>
      <c r="E70" s="103">
        <f>D29</f>
        <v>5.35002438743195</v>
      </c>
      <c r="F70" s="104">
        <f>D30</f>
        <v>0.31758099794387817</v>
      </c>
      <c r="G70" s="100">
        <f>D31</f>
        <v>135</v>
      </c>
      <c r="H70" s="100">
        <f>D32</f>
        <v>-0.18072104854624005</v>
      </c>
      <c r="I70" s="97">
        <f>D33</f>
        <v>0.45847840382132998</v>
      </c>
    </row>
    <row r="71" spans="1:9" ht="15.75">
      <c r="A71" s="65">
        <v>26</v>
      </c>
      <c r="B71" s="98">
        <v>17</v>
      </c>
      <c r="C71" s="99">
        <v>54</v>
      </c>
      <c r="D71" s="100">
        <f>E28</f>
        <v>97.07335456217983</v>
      </c>
      <c r="E71" s="103">
        <f>E29</f>
        <v>3.6209646758115652E-2</v>
      </c>
      <c r="F71" s="104">
        <f>E30</f>
        <v>0.90027797641080032</v>
      </c>
      <c r="G71" s="100">
        <f>E31</f>
        <v>92.647333072264033</v>
      </c>
      <c r="H71" s="100">
        <f>E32</f>
        <v>-4.4260214899157972</v>
      </c>
      <c r="I71" s="97">
        <f>E33</f>
        <v>5.4860207660757773E-4</v>
      </c>
    </row>
    <row r="72" spans="1:9" ht="15.75">
      <c r="A72" s="65">
        <v>26</v>
      </c>
      <c r="B72" s="98">
        <v>17</v>
      </c>
      <c r="C72" s="101">
        <v>55</v>
      </c>
      <c r="D72" s="105">
        <f>F28</f>
        <v>98.884671559949581</v>
      </c>
      <c r="E72" s="106">
        <f>F29</f>
        <v>3.6209646758115652E-2</v>
      </c>
      <c r="F72" s="107">
        <f>F30</f>
        <v>0.90027797641080032</v>
      </c>
      <c r="G72" s="100">
        <f>F31</f>
        <v>98.705966144654937</v>
      </c>
      <c r="H72" s="100">
        <f>F32</f>
        <v>-0.18072104854624005</v>
      </c>
      <c r="I72" s="97">
        <f>F33</f>
        <v>0.45847840382132998</v>
      </c>
    </row>
    <row r="73" spans="1:9" ht="15.75">
      <c r="A73" s="65">
        <v>26</v>
      </c>
      <c r="B73" s="98">
        <v>17</v>
      </c>
      <c r="C73" s="101">
        <v>56</v>
      </c>
      <c r="D73" s="108">
        <f>G28</f>
        <v>34.558984803239277</v>
      </c>
      <c r="E73" s="100">
        <f>G29</f>
        <v>-0.11187812330866392</v>
      </c>
      <c r="F73" s="97">
        <f>G30</f>
        <v>0.72215489719800019</v>
      </c>
      <c r="G73" s="100">
        <f>G31</f>
        <v>32.914485012545853</v>
      </c>
      <c r="H73" s="100">
        <f>G32</f>
        <v>-1.6444997906934233</v>
      </c>
      <c r="I73" s="97">
        <f>G33</f>
        <v>4.8462162310009959E-4</v>
      </c>
    </row>
    <row r="74" spans="1:9" ht="15.75">
      <c r="A74" s="65">
        <v>26</v>
      </c>
      <c r="B74" s="98">
        <v>18</v>
      </c>
      <c r="C74" s="99">
        <v>51</v>
      </c>
      <c r="D74" s="100">
        <f>C34</f>
        <v>18.498833112256523</v>
      </c>
      <c r="E74" s="103">
        <f>C35</f>
        <v>0.57561582829354196</v>
      </c>
      <c r="F74" s="104">
        <f>C36</f>
        <v>4.43579327653928E-2</v>
      </c>
      <c r="G74" s="100">
        <f>C37</f>
        <v>19.550693812256522</v>
      </c>
      <c r="H74" s="100">
        <f>C38</f>
        <v>1.0518606999999989</v>
      </c>
      <c r="I74" s="97">
        <f>C39</f>
        <v>2.5120011911417938E-4</v>
      </c>
    </row>
    <row r="75" spans="1:9" ht="15.75">
      <c r="A75" s="65">
        <v>26</v>
      </c>
      <c r="B75" s="98">
        <v>18</v>
      </c>
      <c r="C75" s="99">
        <v>52</v>
      </c>
      <c r="D75" s="100">
        <f>D34</f>
        <v>74.275171168539515</v>
      </c>
      <c r="E75" s="103">
        <f>D35</f>
        <v>-4.4976057335817412</v>
      </c>
      <c r="F75" s="104">
        <f>D36</f>
        <v>0.24359624087810516</v>
      </c>
      <c r="G75" s="100">
        <f>D37</f>
        <v>73</v>
      </c>
      <c r="H75" s="100">
        <f>D38</f>
        <v>-1.9956893864113676</v>
      </c>
      <c r="I75" s="97">
        <f>D39</f>
        <v>0.40446726642084119</v>
      </c>
    </row>
    <row r="76" spans="1:9" ht="15.75">
      <c r="A76" s="65">
        <v>26</v>
      </c>
      <c r="B76" s="98">
        <v>18</v>
      </c>
      <c r="C76" s="99">
        <v>54</v>
      </c>
      <c r="D76" s="100">
        <f>E34</f>
        <v>92.677489858301612</v>
      </c>
      <c r="E76" s="103">
        <f>E35</f>
        <v>1.8328169645483186</v>
      </c>
      <c r="F76" s="104">
        <f>E36</f>
        <v>0.273878430525204</v>
      </c>
      <c r="G76" s="100">
        <f>E37</f>
        <v>90.170289443297278</v>
      </c>
      <c r="H76" s="100">
        <f>E38</f>
        <v>-2.5072004150043341</v>
      </c>
      <c r="I76" s="97">
        <f>E39</f>
        <v>2.3012456746305684E-3</v>
      </c>
    </row>
    <row r="77" spans="1:9" ht="15.75">
      <c r="A77" s="65">
        <v>26</v>
      </c>
      <c r="B77" s="98">
        <v>18</v>
      </c>
      <c r="C77" s="101">
        <v>55</v>
      </c>
      <c r="D77" s="105">
        <f>F34</f>
        <v>82.558455713626415</v>
      </c>
      <c r="E77" s="106">
        <f>F35</f>
        <v>1.8328169645483186</v>
      </c>
      <c r="F77" s="107">
        <f>F36</f>
        <v>0.273878430525204</v>
      </c>
      <c r="G77" s="100">
        <f>F37</f>
        <v>80.910845375364445</v>
      </c>
      <c r="H77" s="100">
        <f>F38</f>
        <v>-1.9956893864113676</v>
      </c>
      <c r="I77" s="97">
        <f>F39</f>
        <v>0.40446726642084119</v>
      </c>
    </row>
    <row r="78" spans="1:9" ht="15.75">
      <c r="A78" s="65">
        <v>26</v>
      </c>
      <c r="B78" s="98">
        <v>18</v>
      </c>
      <c r="C78" s="101">
        <v>56</v>
      </c>
      <c r="D78" s="108">
        <f>G34</f>
        <v>6.8715723732599221</v>
      </c>
      <c r="E78" s="100">
        <f>G35</f>
        <v>-9.5344324467014505E-2</v>
      </c>
      <c r="F78" s="97">
        <f>G36</f>
        <v>0.60181388223026455</v>
      </c>
      <c r="G78" s="100">
        <f>G37</f>
        <v>6.5306688489908282</v>
      </c>
      <c r="H78" s="100">
        <f>G38</f>
        <v>-0.34090352426909387</v>
      </c>
      <c r="I78" s="97">
        <f>G39</f>
        <v>3.023303035734199E-2</v>
      </c>
    </row>
    <row r="79" spans="1:9" ht="15.75">
      <c r="A79" s="65">
        <v>26</v>
      </c>
      <c r="B79" s="98">
        <v>19</v>
      </c>
      <c r="C79" s="99">
        <v>51</v>
      </c>
      <c r="D79" s="100">
        <f>C40</f>
        <v>20.659466004997185</v>
      </c>
      <c r="E79" s="103">
        <f>C41</f>
        <v>0.99456559096632502</v>
      </c>
      <c r="F79" s="104">
        <f>C42</f>
        <v>9.0484342699790352E-4</v>
      </c>
      <c r="G79" s="100">
        <f>C43</f>
        <v>21.430242738330517</v>
      </c>
      <c r="H79" s="100">
        <f>C44</f>
        <v>0.77077673333333152</v>
      </c>
      <c r="I79" s="97">
        <f>C45</f>
        <v>1.9622963199167821E-2</v>
      </c>
    </row>
    <row r="80" spans="1:9" ht="15.75">
      <c r="A80" s="65">
        <v>26</v>
      </c>
      <c r="B80" s="98">
        <v>19</v>
      </c>
      <c r="C80" s="99">
        <v>52</v>
      </c>
      <c r="D80" s="100">
        <f>D40</f>
        <v>72.558255626036427</v>
      </c>
      <c r="E80" s="100">
        <f>D41</f>
        <v>1.8235552454195623</v>
      </c>
      <c r="F80" s="104">
        <f>D42</f>
        <v>0.73721367120742798</v>
      </c>
      <c r="G80" s="100">
        <f>D43</f>
        <v>72</v>
      </c>
      <c r="H80" s="100">
        <f>D44</f>
        <v>-1.1485059532280557</v>
      </c>
      <c r="I80" s="97">
        <f>D45</f>
        <v>0.72571291016438966</v>
      </c>
    </row>
    <row r="81" spans="1:9" ht="15.75">
      <c r="A81" s="65">
        <v>26</v>
      </c>
      <c r="B81" s="98">
        <v>19</v>
      </c>
      <c r="C81" s="99">
        <v>54</v>
      </c>
      <c r="D81" s="100">
        <f>E40</f>
        <v>95.83263846099382</v>
      </c>
      <c r="E81" s="103">
        <f>E41</f>
        <v>-0.84844885552931104</v>
      </c>
      <c r="F81" s="104">
        <f>E42</f>
        <v>0.72225305840431242</v>
      </c>
      <c r="G81" s="100">
        <f>E43</f>
        <v>99.264859537319523</v>
      </c>
      <c r="H81" s="100">
        <f>E44</f>
        <v>3.4322210763257033</v>
      </c>
      <c r="I81" s="97">
        <f>E45</f>
        <v>2.5711393806644636E-2</v>
      </c>
    </row>
    <row r="82" spans="1:9" ht="15.75">
      <c r="A82" s="65">
        <v>26</v>
      </c>
      <c r="B82" s="98">
        <v>19</v>
      </c>
      <c r="C82" s="101">
        <v>55</v>
      </c>
      <c r="D82" s="105">
        <f>F40</f>
        <v>78.099420835241872</v>
      </c>
      <c r="E82" s="106">
        <f>F41</f>
        <v>-0.84844885552931104</v>
      </c>
      <c r="F82" s="107">
        <f>F42</f>
        <v>0.72225305840431242</v>
      </c>
      <c r="G82" s="100">
        <f>F43</f>
        <v>77.202444337512489</v>
      </c>
      <c r="H82" s="100">
        <f>F44</f>
        <v>-1.1485059532280557</v>
      </c>
      <c r="I82" s="97">
        <f>F45</f>
        <v>0.72571291016438966</v>
      </c>
    </row>
    <row r="83" spans="1:9" ht="15.75">
      <c r="A83" s="65">
        <v>26</v>
      </c>
      <c r="B83" s="98">
        <v>19</v>
      </c>
      <c r="C83" s="101">
        <v>56</v>
      </c>
      <c r="D83" s="108">
        <f>G40</f>
        <v>5.245483901439278</v>
      </c>
      <c r="E83" s="106">
        <f>G41</f>
        <v>4.5566528390296977E-2</v>
      </c>
      <c r="F83" s="109">
        <f>G42</f>
        <v>0.79651987834459681</v>
      </c>
      <c r="G83" s="100">
        <f>G43</f>
        <v>5.3714767925820421</v>
      </c>
      <c r="H83" s="100">
        <f>G44</f>
        <v>0.12599289114276413</v>
      </c>
      <c r="I83" s="97">
        <f>G45</f>
        <v>0.55877404527869401</v>
      </c>
    </row>
  </sheetData>
  <mergeCells count="9">
    <mergeCell ref="B2:G2"/>
    <mergeCell ref="A22:A27"/>
    <mergeCell ref="A28:A33"/>
    <mergeCell ref="A34:A39"/>
    <mergeCell ref="A40:A45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O83"/>
  <sheetViews>
    <sheetView workbookViewId="0">
      <selection activeCell="C4" sqref="C4:G6"/>
    </sheetView>
  </sheetViews>
  <sheetFormatPr defaultRowHeight="15.75"/>
  <cols>
    <col min="1" max="1" width="15.7109375" style="27" customWidth="1"/>
    <col min="2" max="3" width="9.140625" style="27"/>
    <col min="4" max="4" width="11.28515625" style="27" customWidth="1"/>
    <col min="5" max="9" width="9.140625" style="27"/>
    <col min="10" max="10" width="12.7109375" style="27" bestFit="1" customWidth="1"/>
    <col min="11" max="16384" width="9.140625" style="27"/>
  </cols>
  <sheetData>
    <row r="1" spans="1:7" ht="16.5" thickBot="1"/>
    <row r="2" spans="1:7">
      <c r="A2" s="182" t="s">
        <v>0</v>
      </c>
      <c r="B2" s="184" t="s">
        <v>22</v>
      </c>
      <c r="C2" s="92" t="s">
        <v>23</v>
      </c>
      <c r="D2" s="93"/>
      <c r="E2" s="93"/>
      <c r="F2" s="93"/>
      <c r="G2" s="93"/>
    </row>
    <row r="3" spans="1:7" ht="16.5" thickBot="1">
      <c r="A3" s="183"/>
      <c r="B3" s="185"/>
      <c r="C3" s="28" t="s">
        <v>11</v>
      </c>
      <c r="D3" s="28" t="s">
        <v>12</v>
      </c>
      <c r="E3" s="28" t="s">
        <v>13</v>
      </c>
      <c r="F3" s="28" t="s">
        <v>14</v>
      </c>
      <c r="G3" s="28" t="s">
        <v>15</v>
      </c>
    </row>
    <row r="4" spans="1:7" ht="18.75">
      <c r="A4" s="177" t="s">
        <v>1</v>
      </c>
      <c r="B4" s="24" t="s">
        <v>16</v>
      </c>
      <c r="C4" s="129">
        <v>22.409672943720313</v>
      </c>
      <c r="D4" s="31">
        <v>85.345511198304123</v>
      </c>
      <c r="E4" s="30">
        <v>67.451956771007346</v>
      </c>
      <c r="F4" s="30">
        <v>94.16701712061284</v>
      </c>
      <c r="G4" s="130">
        <v>4.4635783913571752</v>
      </c>
    </row>
    <row r="5" spans="1:7" ht="18.75">
      <c r="A5" s="178"/>
      <c r="B5" s="21" t="s">
        <v>17</v>
      </c>
      <c r="C5" s="131">
        <v>0.10093565726977242</v>
      </c>
      <c r="D5" s="33">
        <v>-3.9425213796988134</v>
      </c>
      <c r="E5" s="34">
        <v>-0.77975952793383996</v>
      </c>
      <c r="F5" s="34">
        <v>-0.77975952793383996</v>
      </c>
      <c r="G5" s="132">
        <v>-0.78838453942220243</v>
      </c>
    </row>
    <row r="6" spans="1:7">
      <c r="A6" s="178"/>
      <c r="B6" s="22" t="s">
        <v>18</v>
      </c>
      <c r="C6" s="133">
        <v>3.5785285956289535E-5</v>
      </c>
      <c r="D6" s="36">
        <v>0.70607995986938477</v>
      </c>
      <c r="E6" s="37">
        <v>0.465075346356986</v>
      </c>
      <c r="F6" s="37">
        <v>0.465075346356986</v>
      </c>
      <c r="G6" s="134">
        <v>1.1344776597507484E-4</v>
      </c>
    </row>
    <row r="7" spans="1:7" ht="18.75">
      <c r="A7" s="178"/>
      <c r="B7" s="23" t="s">
        <v>19</v>
      </c>
      <c r="C7" s="78">
        <v>23.526798743720313</v>
      </c>
      <c r="D7" s="38">
        <v>82.805704424296991</v>
      </c>
      <c r="E7" s="112">
        <v>56.497325574745489</v>
      </c>
      <c r="F7" s="10">
        <v>92.74818218114747</v>
      </c>
      <c r="G7" s="113">
        <v>3.7671873859006437</v>
      </c>
    </row>
    <row r="8" spans="1:7" ht="18.75">
      <c r="A8" s="178"/>
      <c r="B8" s="21" t="s">
        <v>20</v>
      </c>
      <c r="C8" s="135">
        <v>1.1171258000000002</v>
      </c>
      <c r="D8" s="40">
        <v>-2.9759113728966695</v>
      </c>
      <c r="E8" s="136">
        <v>-10.954631196261857</v>
      </c>
      <c r="F8" s="10">
        <v>-1.5067217618755708</v>
      </c>
      <c r="G8" s="137">
        <v>-0.69639100545653143</v>
      </c>
    </row>
    <row r="9" spans="1:7" ht="16.5" thickBot="1">
      <c r="A9" s="179"/>
      <c r="B9" s="25" t="s">
        <v>21</v>
      </c>
      <c r="C9" s="138">
        <v>7.3838305149075524E-4</v>
      </c>
      <c r="D9" s="139">
        <v>0.85643804403689117</v>
      </c>
      <c r="E9" s="140">
        <v>8.0225432138419993E-4</v>
      </c>
      <c r="F9" s="47">
        <v>0.61360679187986245</v>
      </c>
      <c r="G9" s="141">
        <v>2.1152692486330647E-2</v>
      </c>
    </row>
    <row r="10" spans="1:7" ht="18.75">
      <c r="A10" s="180" t="s">
        <v>2</v>
      </c>
      <c r="B10" s="20" t="s">
        <v>16</v>
      </c>
      <c r="C10" s="129">
        <v>14.570574235431517</v>
      </c>
      <c r="D10" s="31">
        <v>82.111374301049764</v>
      </c>
      <c r="E10" s="30">
        <v>92.701685876066705</v>
      </c>
      <c r="F10" s="30">
        <v>84.806950379346532</v>
      </c>
      <c r="G10" s="130">
        <v>5.5177814991971319</v>
      </c>
    </row>
    <row r="11" spans="1:7" ht="18.75">
      <c r="A11" s="178"/>
      <c r="B11" s="21" t="s">
        <v>17</v>
      </c>
      <c r="C11" s="131">
        <v>0.51556767430259476</v>
      </c>
      <c r="D11" s="33">
        <v>10.23466230980776</v>
      </c>
      <c r="E11" s="34">
        <v>3.5747353044806736</v>
      </c>
      <c r="F11" s="34">
        <v>3.5747353044806736</v>
      </c>
      <c r="G11" s="132">
        <v>5.1008189938952904E-2</v>
      </c>
    </row>
    <row r="12" spans="1:7">
      <c r="A12" s="178"/>
      <c r="B12" s="22" t="s">
        <v>18</v>
      </c>
      <c r="C12" s="133">
        <v>5.2407417528063306E-2</v>
      </c>
      <c r="D12" s="36">
        <v>0.24461039900779724</v>
      </c>
      <c r="E12" s="37">
        <v>0.13350572614496947</v>
      </c>
      <c r="F12" s="37">
        <v>0.13350572614496947</v>
      </c>
      <c r="G12" s="134">
        <v>0.80166503237875242</v>
      </c>
    </row>
    <row r="13" spans="1:7" ht="18.75">
      <c r="A13" s="178"/>
      <c r="B13" s="23" t="s">
        <v>19</v>
      </c>
      <c r="C13" s="78">
        <v>16.280261735431509</v>
      </c>
      <c r="D13" s="38">
        <v>83.67542621210238</v>
      </c>
      <c r="E13" s="112">
        <v>79.887537413525848</v>
      </c>
      <c r="F13" s="10">
        <v>86.026557007134386</v>
      </c>
      <c r="G13" s="113">
        <v>4.8837623207265377</v>
      </c>
    </row>
    <row r="14" spans="1:7" ht="18.75">
      <c r="A14" s="178"/>
      <c r="B14" s="21" t="s">
        <v>20</v>
      </c>
      <c r="C14" s="135">
        <v>1.709687499999994</v>
      </c>
      <c r="D14" s="10">
        <v>1.9047932449872711</v>
      </c>
      <c r="E14" s="11">
        <v>-12.814148462540857</v>
      </c>
      <c r="F14" s="10">
        <v>1.43809749358098</v>
      </c>
      <c r="G14" s="137">
        <v>-0.63401917847059419</v>
      </c>
    </row>
    <row r="15" spans="1:7" ht="16.5" thickBot="1">
      <c r="A15" s="181"/>
      <c r="B15" s="26" t="s">
        <v>21</v>
      </c>
      <c r="C15" s="142">
        <v>9.0371712140653884E-7</v>
      </c>
      <c r="D15" s="48">
        <v>0.85700340594156788</v>
      </c>
      <c r="E15" s="76">
        <v>3.7847862493642519E-6</v>
      </c>
      <c r="F15" s="43">
        <v>0.66091349097865626</v>
      </c>
      <c r="G15" s="143">
        <v>1.7151279235676425E-2</v>
      </c>
    </row>
    <row r="16" spans="1:7" ht="18.75">
      <c r="A16" s="177" t="s">
        <v>3</v>
      </c>
      <c r="B16" s="24" t="s">
        <v>16</v>
      </c>
      <c r="C16" s="144">
        <v>6.5186546867852577</v>
      </c>
      <c r="D16" s="45">
        <v>50.60690250473349</v>
      </c>
      <c r="E16" s="44">
        <v>88.636153893767101</v>
      </c>
      <c r="F16" s="44">
        <v>76.776768675590077</v>
      </c>
      <c r="G16" s="145">
        <v>3.4383273884758565</v>
      </c>
    </row>
    <row r="17" spans="1:7" ht="18.75">
      <c r="A17" s="178"/>
      <c r="B17" s="21" t="s">
        <v>17</v>
      </c>
      <c r="C17" s="131">
        <v>1.1942613844299832</v>
      </c>
      <c r="D17" s="33">
        <v>2.3466149930339819</v>
      </c>
      <c r="E17" s="34">
        <v>-7.3348646336053323</v>
      </c>
      <c r="F17" s="34">
        <v>-7.3348646336053323</v>
      </c>
      <c r="G17" s="132">
        <v>-0.10842911764608662</v>
      </c>
    </row>
    <row r="18" spans="1:7">
      <c r="A18" s="178"/>
      <c r="B18" s="22" t="s">
        <v>18</v>
      </c>
      <c r="C18" s="133">
        <v>1.24906125716085E-2</v>
      </c>
      <c r="D18" s="36">
        <v>0.6864965558052063</v>
      </c>
      <c r="E18" s="37">
        <v>1.5072297081733268E-2</v>
      </c>
      <c r="F18" s="37">
        <v>1.5072297081733268E-2</v>
      </c>
      <c r="G18" s="134">
        <v>0.64757854620265076</v>
      </c>
    </row>
    <row r="19" spans="1:7" ht="18.75">
      <c r="A19" s="178"/>
      <c r="B19" s="23" t="s">
        <v>19</v>
      </c>
      <c r="C19" s="78">
        <v>7.5867736201185956</v>
      </c>
      <c r="D19" s="38">
        <v>60.192369663249849</v>
      </c>
      <c r="E19" s="112">
        <v>77.230109697459724</v>
      </c>
      <c r="F19" s="10">
        <v>78.490048059764547</v>
      </c>
      <c r="G19" s="113">
        <v>3.0379392592437799</v>
      </c>
    </row>
    <row r="20" spans="1:7" ht="18.75">
      <c r="A20" s="178"/>
      <c r="B20" s="21" t="s">
        <v>20</v>
      </c>
      <c r="C20" s="135">
        <v>1.0681189333333378</v>
      </c>
      <c r="D20" s="10">
        <v>18.941027180274055</v>
      </c>
      <c r="E20" s="11">
        <v>-11.406044196307377</v>
      </c>
      <c r="F20" s="10">
        <v>2.2315075428788989</v>
      </c>
      <c r="G20" s="137">
        <v>-0.40038812923207656</v>
      </c>
    </row>
    <row r="21" spans="1:7" ht="16.5" thickBot="1">
      <c r="A21" s="179"/>
      <c r="B21" s="25" t="s">
        <v>21</v>
      </c>
      <c r="C21" s="138">
        <v>5.1509798039972412E-3</v>
      </c>
      <c r="D21" s="46">
        <v>0.15707044286005634</v>
      </c>
      <c r="E21" s="89">
        <v>4.5845498157518075E-3</v>
      </c>
      <c r="F21" s="47">
        <v>0.56250973338492438</v>
      </c>
      <c r="G21" s="141">
        <v>3.0645433069782277E-2</v>
      </c>
    </row>
    <row r="22" spans="1:7" ht="18.75">
      <c r="A22" s="180" t="s">
        <v>4</v>
      </c>
      <c r="B22" s="20" t="s">
        <v>16</v>
      </c>
      <c r="C22" s="129">
        <v>1.6084969619280527</v>
      </c>
      <c r="D22" s="31">
        <v>136.20710797696677</v>
      </c>
      <c r="E22" s="30">
        <v>88.6564846366892</v>
      </c>
      <c r="F22" s="30">
        <v>98.026990756413383</v>
      </c>
      <c r="G22" s="130">
        <v>25.196726768579442</v>
      </c>
    </row>
    <row r="23" spans="1:7" ht="18.75">
      <c r="A23" s="178"/>
      <c r="B23" s="21" t="s">
        <v>17</v>
      </c>
      <c r="C23" s="131">
        <v>0.2734378987053192</v>
      </c>
      <c r="D23" s="33">
        <v>4.4382533713052919</v>
      </c>
      <c r="E23" s="34">
        <v>-0.41370640837405914</v>
      </c>
      <c r="F23" s="34">
        <v>-0.41370640837405914</v>
      </c>
      <c r="G23" s="132">
        <v>-0.65209851135970609</v>
      </c>
    </row>
    <row r="24" spans="1:7">
      <c r="A24" s="178"/>
      <c r="B24" s="22" t="s">
        <v>18</v>
      </c>
      <c r="C24" s="133">
        <v>0.36080097052631777</v>
      </c>
      <c r="D24" s="36">
        <v>0.59507447481155396</v>
      </c>
      <c r="E24" s="37">
        <v>0.44939570913256455</v>
      </c>
      <c r="F24" s="37">
        <v>0.44939570913256455</v>
      </c>
      <c r="G24" s="134">
        <v>0.23696646234051355</v>
      </c>
    </row>
    <row r="25" spans="1:7" ht="18.75">
      <c r="A25" s="178"/>
      <c r="B25" s="23" t="s">
        <v>19</v>
      </c>
      <c r="C25" s="78">
        <v>2.7798143397058306</v>
      </c>
      <c r="D25" s="38">
        <v>155.6736649200966</v>
      </c>
      <c r="E25" s="112">
        <v>75.765389798444275</v>
      </c>
      <c r="F25" s="10">
        <v>97.395479996002067</v>
      </c>
      <c r="G25" s="113">
        <v>21.381690590149297</v>
      </c>
    </row>
    <row r="26" spans="1:7" ht="18.75">
      <c r="A26" s="178"/>
      <c r="B26" s="21" t="s">
        <v>20</v>
      </c>
      <c r="C26" s="135">
        <v>1.1713173777777777</v>
      </c>
      <c r="D26" s="10">
        <v>14.291880381471502</v>
      </c>
      <c r="E26" s="11">
        <v>-12.891094838244925</v>
      </c>
      <c r="F26" s="10">
        <v>-0.64422130633445351</v>
      </c>
      <c r="G26" s="115">
        <v>-3.8150361784301445</v>
      </c>
    </row>
    <row r="27" spans="1:7" ht="16.5" thickBot="1">
      <c r="A27" s="181"/>
      <c r="B27" s="26" t="s">
        <v>21</v>
      </c>
      <c r="C27" s="142">
        <v>5.2557617688557914E-4</v>
      </c>
      <c r="D27" s="48">
        <v>6.9983925127166002E-2</v>
      </c>
      <c r="E27" s="121">
        <v>5.0242089506497706E-4</v>
      </c>
      <c r="F27" s="43">
        <v>0.31508682379692354</v>
      </c>
      <c r="G27" s="122">
        <v>3.0573944610581269E-4</v>
      </c>
    </row>
    <row r="28" spans="1:7" ht="18.75">
      <c r="A28" s="177" t="s">
        <v>5</v>
      </c>
      <c r="B28" s="24" t="s">
        <v>16</v>
      </c>
      <c r="C28" s="144">
        <v>9.469691371124723</v>
      </c>
      <c r="D28" s="45">
        <v>109.12433860439263</v>
      </c>
      <c r="E28" s="44">
        <v>93.969828431314298</v>
      </c>
      <c r="F28" s="44">
        <v>96.792956255116209</v>
      </c>
      <c r="G28" s="145">
        <v>32.751624340309959</v>
      </c>
    </row>
    <row r="29" spans="1:7" ht="18.75">
      <c r="A29" s="178"/>
      <c r="B29" s="21" t="s">
        <v>17</v>
      </c>
      <c r="C29" s="131">
        <v>0.50470473877327771</v>
      </c>
      <c r="D29" s="33">
        <v>0.53742076386251858</v>
      </c>
      <c r="E29" s="34">
        <v>0.33910116219541164</v>
      </c>
      <c r="F29" s="34">
        <v>0.33910116219541164</v>
      </c>
      <c r="G29" s="132">
        <v>-0.61715834584915552</v>
      </c>
    </row>
    <row r="30" spans="1:7">
      <c r="A30" s="178"/>
      <c r="B30" s="22" t="s">
        <v>18</v>
      </c>
      <c r="C30" s="133">
        <v>2.1670277188531529E-2</v>
      </c>
      <c r="D30" s="36">
        <v>0.93371528387069702</v>
      </c>
      <c r="E30" s="49">
        <v>0.52074304716681619</v>
      </c>
      <c r="F30" s="49">
        <v>0.52074304716681619</v>
      </c>
      <c r="G30" s="134">
        <v>0.13835729343922376</v>
      </c>
    </row>
    <row r="31" spans="1:7" ht="18.75">
      <c r="A31" s="178"/>
      <c r="B31" s="23" t="s">
        <v>19</v>
      </c>
      <c r="C31" s="78">
        <v>10.265917193346946</v>
      </c>
      <c r="D31" s="38">
        <v>107.29695008296763</v>
      </c>
      <c r="E31" s="112">
        <v>87.213469764890689</v>
      </c>
      <c r="F31" s="10">
        <v>96.785570008395737</v>
      </c>
      <c r="G31" s="113">
        <v>30.353865704500215</v>
      </c>
    </row>
    <row r="32" spans="1:7" ht="18.75">
      <c r="A32" s="178"/>
      <c r="B32" s="21" t="s">
        <v>20</v>
      </c>
      <c r="C32" s="135">
        <v>0.79622582222222249</v>
      </c>
      <c r="D32" s="10">
        <v>-1.6745929870418859</v>
      </c>
      <c r="E32" s="11">
        <v>-6.7563586664236084</v>
      </c>
      <c r="F32" s="10">
        <v>-7.6309754410200156E-3</v>
      </c>
      <c r="G32" s="115">
        <v>-2.397758635809744</v>
      </c>
    </row>
    <row r="33" spans="1:15" ht="16.5" thickBot="1">
      <c r="A33" s="179"/>
      <c r="B33" s="25" t="s">
        <v>21</v>
      </c>
      <c r="C33" s="138">
        <v>7.1651873880229812E-5</v>
      </c>
      <c r="D33" s="46">
        <v>0.81666507084028794</v>
      </c>
      <c r="E33" s="89">
        <v>8.9405475291759145E-5</v>
      </c>
      <c r="F33" s="47">
        <v>0.99085477941456512</v>
      </c>
      <c r="G33" s="118">
        <v>3.5614372621963175E-4</v>
      </c>
    </row>
    <row r="34" spans="1:15" ht="18.75">
      <c r="A34" s="177" t="s">
        <v>6</v>
      </c>
      <c r="B34" s="24" t="s">
        <v>16</v>
      </c>
      <c r="C34" s="129">
        <v>19.620417492556388</v>
      </c>
      <c r="D34" s="31">
        <v>50.772018005097287</v>
      </c>
      <c r="E34" s="30">
        <v>85.362316320964354</v>
      </c>
      <c r="F34" s="30">
        <v>91.008680084465126</v>
      </c>
      <c r="G34" s="130">
        <v>6.9846832349458907</v>
      </c>
    </row>
    <row r="35" spans="1:15" ht="18.75">
      <c r="A35" s="178"/>
      <c r="B35" s="21" t="s">
        <v>17</v>
      </c>
      <c r="C35" s="131">
        <v>0.70269411885163802</v>
      </c>
      <c r="D35" s="33">
        <v>-1.3352494743771237</v>
      </c>
      <c r="E35" s="34">
        <v>0.34634141936301133</v>
      </c>
      <c r="F35" s="34">
        <v>0.34634141936301133</v>
      </c>
      <c r="G35" s="132">
        <v>-0.51628533404781884</v>
      </c>
    </row>
    <row r="36" spans="1:15">
      <c r="A36" s="178"/>
      <c r="B36" s="22" t="s">
        <v>18</v>
      </c>
      <c r="C36" s="133">
        <v>7.9850436479590725E-3</v>
      </c>
      <c r="D36" s="36">
        <v>0.78735637664794922</v>
      </c>
      <c r="E36" s="37">
        <v>0.83967010053645696</v>
      </c>
      <c r="F36" s="37">
        <v>0.83967010053645696</v>
      </c>
      <c r="G36" s="134">
        <v>2.5300991966416102E-2</v>
      </c>
    </row>
    <row r="37" spans="1:15" ht="18.75">
      <c r="A37" s="178"/>
      <c r="B37" s="23" t="s">
        <v>19</v>
      </c>
      <c r="C37" s="78">
        <v>20.640874792556385</v>
      </c>
      <c r="D37" s="38">
        <v>57.704630083680193</v>
      </c>
      <c r="E37" s="112">
        <v>81.103028636121564</v>
      </c>
      <c r="F37" s="10">
        <v>88.672208826542146</v>
      </c>
      <c r="G37" s="113">
        <v>6.3958770448214501</v>
      </c>
    </row>
    <row r="38" spans="1:15" ht="18.75">
      <c r="A38" s="178"/>
      <c r="B38" s="21" t="s">
        <v>20</v>
      </c>
      <c r="C38" s="135">
        <v>1.0204572999999968</v>
      </c>
      <c r="D38" s="10">
        <v>13.654395375592326</v>
      </c>
      <c r="E38" s="11">
        <v>-4.2592876848427892</v>
      </c>
      <c r="F38" s="10">
        <v>-2.5673059490089396</v>
      </c>
      <c r="G38" s="115">
        <v>-0.58880619012444058</v>
      </c>
    </row>
    <row r="39" spans="1:15" ht="16.5" thickBot="1">
      <c r="A39" s="179"/>
      <c r="B39" s="25" t="s">
        <v>21</v>
      </c>
      <c r="C39" s="142">
        <v>1.7584047202086987E-4</v>
      </c>
      <c r="D39" s="48">
        <v>0.40140393468320112</v>
      </c>
      <c r="E39" s="76">
        <v>7.8842952012521535E-4</v>
      </c>
      <c r="F39" s="43">
        <v>0.1027527294799585</v>
      </c>
      <c r="G39" s="122">
        <v>7.3563336389883071E-5</v>
      </c>
    </row>
    <row r="40" spans="1:15" ht="18.75">
      <c r="A40" s="180" t="s">
        <v>7</v>
      </c>
      <c r="B40" s="20" t="s">
        <v>16</v>
      </c>
      <c r="C40" s="144">
        <v>22.568309746224184</v>
      </c>
      <c r="D40" s="45">
        <v>39.187429510407405</v>
      </c>
      <c r="E40" s="44">
        <v>95.094927898450422</v>
      </c>
      <c r="F40" s="44">
        <v>90.869223142059838</v>
      </c>
      <c r="G40" s="145">
        <v>6.0443881374993191</v>
      </c>
    </row>
    <row r="41" spans="1:15" ht="18.75">
      <c r="A41" s="178"/>
      <c r="B41" s="21" t="s">
        <v>17</v>
      </c>
      <c r="C41" s="131">
        <v>0.93484661813213477</v>
      </c>
      <c r="D41" s="33">
        <v>-4.0154651445605722</v>
      </c>
      <c r="E41" s="34">
        <v>1.5381670083267951</v>
      </c>
      <c r="F41" s="34">
        <v>1.5381670083267951</v>
      </c>
      <c r="G41" s="132">
        <v>-7.9705768709532818E-2</v>
      </c>
    </row>
    <row r="42" spans="1:15">
      <c r="A42" s="178"/>
      <c r="B42" s="22" t="s">
        <v>18</v>
      </c>
      <c r="C42" s="133">
        <v>5.1095780502098068E-3</v>
      </c>
      <c r="D42" s="36">
        <v>0.46724864840507507</v>
      </c>
      <c r="E42" s="49">
        <v>0.43495557563745435</v>
      </c>
      <c r="F42" s="49">
        <v>0.43495557563745435</v>
      </c>
      <c r="G42" s="134">
        <v>0.60976184471452755</v>
      </c>
    </row>
    <row r="43" spans="1:15" ht="18.75">
      <c r="A43" s="178"/>
      <c r="B43" s="23" t="s">
        <v>19</v>
      </c>
      <c r="C43" s="78">
        <v>23.516547879557514</v>
      </c>
      <c r="D43" s="38">
        <v>41.776580079922347</v>
      </c>
      <c r="E43" s="112">
        <v>96.444282703769062</v>
      </c>
      <c r="F43" s="10">
        <v>90.586302380767592</v>
      </c>
      <c r="G43" s="113">
        <v>6.1087257407899873</v>
      </c>
    </row>
    <row r="44" spans="1:15" ht="18.75">
      <c r="A44" s="178"/>
      <c r="B44" s="21" t="s">
        <v>20</v>
      </c>
      <c r="C44" s="135">
        <v>0.94823813333333007</v>
      </c>
      <c r="D44" s="10">
        <v>6.6070946777137225</v>
      </c>
      <c r="E44" s="11">
        <v>1.3493548053186402</v>
      </c>
      <c r="F44" s="10">
        <v>-0.3113493782707365</v>
      </c>
      <c r="G44" s="137">
        <v>6.4337603290668177E-2</v>
      </c>
    </row>
    <row r="45" spans="1:15" ht="16.5" thickBot="1">
      <c r="A45" s="179"/>
      <c r="B45" s="25" t="s">
        <v>21</v>
      </c>
      <c r="C45" s="142">
        <v>4.2162744836113496E-3</v>
      </c>
      <c r="D45" s="48">
        <v>0.76136961916523038</v>
      </c>
      <c r="E45" s="76">
        <v>5.9402971340873599E-2</v>
      </c>
      <c r="F45" s="43">
        <v>0.85597131655035874</v>
      </c>
      <c r="G45" s="143">
        <v>0.60230558816300106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22.409672943720313</v>
      </c>
      <c r="E49" s="100">
        <f>C5</f>
        <v>0.10093565726977242</v>
      </c>
      <c r="F49" s="97">
        <f>C6</f>
        <v>3.5785285956289535E-5</v>
      </c>
      <c r="G49" s="100">
        <f>C7</f>
        <v>23.526798743720313</v>
      </c>
      <c r="H49" s="100">
        <f>C8</f>
        <v>1.1171258000000002</v>
      </c>
      <c r="I49" s="97">
        <f>C9</f>
        <v>7.3838305149075524E-4</v>
      </c>
    </row>
    <row r="50" spans="1:9">
      <c r="A50" s="65">
        <v>26</v>
      </c>
      <c r="B50" s="98">
        <v>13</v>
      </c>
      <c r="C50" s="99">
        <v>52</v>
      </c>
      <c r="D50" s="100">
        <f>D4</f>
        <v>85.345511198304123</v>
      </c>
      <c r="E50" s="100">
        <f>D5</f>
        <v>-3.9425213796988134</v>
      </c>
      <c r="F50" s="97">
        <f>D6</f>
        <v>0.70607995986938477</v>
      </c>
      <c r="G50" s="100">
        <f>D7</f>
        <v>82.805704424296991</v>
      </c>
      <c r="H50" s="100">
        <f>D8</f>
        <v>-2.9759113728966695</v>
      </c>
      <c r="I50" s="97">
        <f>D9</f>
        <v>0.85643804403689117</v>
      </c>
    </row>
    <row r="51" spans="1:9">
      <c r="A51" s="65">
        <v>26</v>
      </c>
      <c r="B51" s="98">
        <v>13</v>
      </c>
      <c r="C51" s="99">
        <v>54</v>
      </c>
      <c r="D51" s="100">
        <f>E4</f>
        <v>67.451956771007346</v>
      </c>
      <c r="E51" s="100">
        <f>E5</f>
        <v>-0.77975952793383996</v>
      </c>
      <c r="F51" s="97">
        <f>E6</f>
        <v>0.465075346356986</v>
      </c>
      <c r="G51" s="100">
        <f>E7</f>
        <v>56.497325574745489</v>
      </c>
      <c r="H51" s="100">
        <f>E8</f>
        <v>-10.954631196261857</v>
      </c>
      <c r="I51" s="97">
        <f>E9</f>
        <v>8.0225432138419993E-4</v>
      </c>
    </row>
    <row r="52" spans="1:9">
      <c r="A52" s="65">
        <v>26</v>
      </c>
      <c r="B52" s="98">
        <v>13</v>
      </c>
      <c r="C52" s="101">
        <v>55</v>
      </c>
      <c r="D52" s="100">
        <f>F4</f>
        <v>94.16701712061284</v>
      </c>
      <c r="E52" s="100">
        <f>F5</f>
        <v>-0.77975952793383996</v>
      </c>
      <c r="F52" s="97">
        <f>F6</f>
        <v>0.465075346356986</v>
      </c>
      <c r="G52" s="100">
        <f>F7</f>
        <v>92.74818218114747</v>
      </c>
      <c r="H52" s="100">
        <f>F8</f>
        <v>-1.5067217618755708</v>
      </c>
      <c r="I52" s="97">
        <f>F9</f>
        <v>0.61360679187986245</v>
      </c>
    </row>
    <row r="53" spans="1:9">
      <c r="A53" s="65">
        <v>26</v>
      </c>
      <c r="B53" s="98">
        <v>13</v>
      </c>
      <c r="C53" s="101">
        <v>56</v>
      </c>
      <c r="D53" s="100">
        <f>G4</f>
        <v>4.4635783913571752</v>
      </c>
      <c r="E53" s="100">
        <f>G5</f>
        <v>-0.78838453942220243</v>
      </c>
      <c r="F53" s="97">
        <f>G6</f>
        <v>1.1344776597507484E-4</v>
      </c>
      <c r="G53" s="100">
        <f>G7</f>
        <v>3.7671873859006437</v>
      </c>
      <c r="H53" s="100">
        <f>G8</f>
        <v>-0.69639100545653143</v>
      </c>
      <c r="I53" s="97">
        <f>G9</f>
        <v>2.1152692486330647E-2</v>
      </c>
    </row>
    <row r="54" spans="1:9">
      <c r="A54" s="65">
        <v>26</v>
      </c>
      <c r="B54" s="98">
        <v>14</v>
      </c>
      <c r="C54" s="99">
        <v>51</v>
      </c>
      <c r="D54" s="100">
        <f>C10</f>
        <v>14.570574235431517</v>
      </c>
      <c r="E54" s="100">
        <f>C11</f>
        <v>0.51556767430259476</v>
      </c>
      <c r="F54" s="97">
        <f>C12</f>
        <v>5.2407417528063306E-2</v>
      </c>
      <c r="G54" s="100">
        <f>C13</f>
        <v>16.280261735431509</v>
      </c>
      <c r="H54" s="100">
        <f>C14</f>
        <v>1.709687499999994</v>
      </c>
      <c r="I54" s="97">
        <f>C15</f>
        <v>9.0371712140653884E-7</v>
      </c>
    </row>
    <row r="55" spans="1:9">
      <c r="A55" s="65">
        <v>26</v>
      </c>
      <c r="B55" s="98">
        <v>14</v>
      </c>
      <c r="C55" s="99">
        <v>52</v>
      </c>
      <c r="D55" s="100">
        <f>D10</f>
        <v>82.111374301049764</v>
      </c>
      <c r="E55" s="100">
        <f>D11</f>
        <v>10.23466230980776</v>
      </c>
      <c r="F55" s="97">
        <f>D12</f>
        <v>0.24461039900779724</v>
      </c>
      <c r="G55" s="100">
        <f>D13</f>
        <v>83.67542621210238</v>
      </c>
      <c r="H55" s="100">
        <f>D14</f>
        <v>1.9047932449872711</v>
      </c>
      <c r="I55" s="97">
        <f>D15</f>
        <v>0.85700340594156788</v>
      </c>
    </row>
    <row r="56" spans="1:9">
      <c r="A56" s="65">
        <v>26</v>
      </c>
      <c r="B56" s="98">
        <v>14</v>
      </c>
      <c r="C56" s="99">
        <v>54</v>
      </c>
      <c r="D56" s="100">
        <f>E10</f>
        <v>92.701685876066705</v>
      </c>
      <c r="E56" s="100">
        <f>E11</f>
        <v>3.5747353044806736</v>
      </c>
      <c r="F56" s="97">
        <f>E12</f>
        <v>0.13350572614496947</v>
      </c>
      <c r="G56" s="100">
        <f>E13</f>
        <v>79.887537413525848</v>
      </c>
      <c r="H56" s="100">
        <f>E14</f>
        <v>-12.814148462540857</v>
      </c>
      <c r="I56" s="97">
        <f>E15</f>
        <v>3.7847862493642519E-6</v>
      </c>
    </row>
    <row r="57" spans="1:9">
      <c r="A57" s="65">
        <v>26</v>
      </c>
      <c r="B57" s="98">
        <v>14</v>
      </c>
      <c r="C57" s="101">
        <v>55</v>
      </c>
      <c r="D57" s="100">
        <f>F10</f>
        <v>84.806950379346532</v>
      </c>
      <c r="E57" s="100">
        <f>F11</f>
        <v>3.5747353044806736</v>
      </c>
      <c r="F57" s="97">
        <f>F12</f>
        <v>0.13350572614496947</v>
      </c>
      <c r="G57" s="100">
        <f>F13</f>
        <v>86.026557007134386</v>
      </c>
      <c r="H57" s="100">
        <f>F14</f>
        <v>1.43809749358098</v>
      </c>
      <c r="I57" s="97">
        <f>F15</f>
        <v>0.66091349097865626</v>
      </c>
    </row>
    <row r="58" spans="1:9">
      <c r="A58" s="65">
        <v>26</v>
      </c>
      <c r="B58" s="98">
        <v>14</v>
      </c>
      <c r="C58" s="101">
        <v>56</v>
      </c>
      <c r="D58" s="100">
        <f>G10</f>
        <v>5.5177814991971319</v>
      </c>
      <c r="E58" s="100">
        <f>G11</f>
        <v>5.1008189938952904E-2</v>
      </c>
      <c r="F58" s="97">
        <f>G12</f>
        <v>0.80166503237875242</v>
      </c>
      <c r="G58" s="100">
        <f>G13</f>
        <v>4.8837623207265377</v>
      </c>
      <c r="H58" s="100">
        <f>G14</f>
        <v>-0.63401917847059419</v>
      </c>
      <c r="I58" s="97">
        <f>G15</f>
        <v>1.7151279235676425E-2</v>
      </c>
    </row>
    <row r="59" spans="1:9">
      <c r="A59" s="65">
        <v>26</v>
      </c>
      <c r="B59" s="98">
        <v>15</v>
      </c>
      <c r="C59" s="99">
        <v>51</v>
      </c>
      <c r="D59" s="100">
        <f>C16</f>
        <v>6.5186546867852577</v>
      </c>
      <c r="E59" s="100">
        <f>C17</f>
        <v>1.1942613844299832</v>
      </c>
      <c r="F59" s="97">
        <f>C18</f>
        <v>1.24906125716085E-2</v>
      </c>
      <c r="G59" s="100">
        <f>C19</f>
        <v>7.5867736201185956</v>
      </c>
      <c r="H59" s="100">
        <f>C20</f>
        <v>1.0681189333333378</v>
      </c>
      <c r="I59" s="97">
        <f>C21</f>
        <v>5.1509798039972412E-3</v>
      </c>
    </row>
    <row r="60" spans="1:9">
      <c r="A60" s="65">
        <v>26</v>
      </c>
      <c r="B60" s="98">
        <v>15</v>
      </c>
      <c r="C60" s="99">
        <v>52</v>
      </c>
      <c r="D60" s="100">
        <f>D16</f>
        <v>50.60690250473349</v>
      </c>
      <c r="E60" s="100">
        <f>D17</f>
        <v>2.3466149930339819</v>
      </c>
      <c r="F60" s="97">
        <f>D18</f>
        <v>0.6864965558052063</v>
      </c>
      <c r="G60" s="100">
        <f>D19</f>
        <v>60.192369663249849</v>
      </c>
      <c r="H60" s="100">
        <f>D20</f>
        <v>18.941027180274055</v>
      </c>
      <c r="I60" s="97">
        <f>D21</f>
        <v>0.15707044286005634</v>
      </c>
    </row>
    <row r="61" spans="1:9">
      <c r="A61" s="65">
        <v>26</v>
      </c>
      <c r="B61" s="98">
        <v>15</v>
      </c>
      <c r="C61" s="99">
        <v>54</v>
      </c>
      <c r="D61" s="100">
        <f>E16</f>
        <v>88.636153893767101</v>
      </c>
      <c r="E61" s="100">
        <f>E17</f>
        <v>-7.3348646336053323</v>
      </c>
      <c r="F61" s="97">
        <f>E18</f>
        <v>1.5072297081733268E-2</v>
      </c>
      <c r="G61" s="100">
        <f>E19</f>
        <v>77.230109697459724</v>
      </c>
      <c r="H61" s="100">
        <f>E20</f>
        <v>-11.406044196307377</v>
      </c>
      <c r="I61" s="97">
        <f>E21</f>
        <v>4.5845498157518075E-3</v>
      </c>
    </row>
    <row r="62" spans="1:9">
      <c r="A62" s="65">
        <v>26</v>
      </c>
      <c r="B62" s="98">
        <v>15</v>
      </c>
      <c r="C62" s="101">
        <v>55</v>
      </c>
      <c r="D62" s="102">
        <f>F16</f>
        <v>76.776768675590077</v>
      </c>
      <c r="E62" s="100">
        <f>F17</f>
        <v>-7.3348646336053323</v>
      </c>
      <c r="F62" s="97">
        <f>F18</f>
        <v>1.5072297081733268E-2</v>
      </c>
      <c r="G62" s="100">
        <f>F19</f>
        <v>78.490048059764547</v>
      </c>
      <c r="H62" s="100">
        <f>F20</f>
        <v>2.2315075428788989</v>
      </c>
      <c r="I62" s="97">
        <f>F21</f>
        <v>0.56250973338492438</v>
      </c>
    </row>
    <row r="63" spans="1:9">
      <c r="A63" s="65">
        <v>26</v>
      </c>
      <c r="B63" s="98">
        <v>15</v>
      </c>
      <c r="C63" s="101">
        <v>56</v>
      </c>
      <c r="D63" s="102">
        <f>G16</f>
        <v>3.4383273884758565</v>
      </c>
      <c r="E63" s="100">
        <f>G17</f>
        <v>-0.10842911764608662</v>
      </c>
      <c r="F63" s="97">
        <f>G18</f>
        <v>0.64757854620265076</v>
      </c>
      <c r="G63" s="100">
        <f>G19</f>
        <v>3.0379392592437799</v>
      </c>
      <c r="H63" s="100">
        <f>G20</f>
        <v>-0.40038812923207656</v>
      </c>
      <c r="I63" s="97">
        <f>G21</f>
        <v>3.0645433069782277E-2</v>
      </c>
    </row>
    <row r="64" spans="1:9">
      <c r="A64" s="65">
        <v>26</v>
      </c>
      <c r="B64" s="98">
        <v>16</v>
      </c>
      <c r="C64" s="99">
        <v>51</v>
      </c>
      <c r="D64" s="100">
        <f>C22</f>
        <v>1.6084969619280527</v>
      </c>
      <c r="E64" s="103">
        <f>C23</f>
        <v>0.2734378987053192</v>
      </c>
      <c r="F64" s="104">
        <f>C24</f>
        <v>0.36080097052631777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136.20710797696677</v>
      </c>
      <c r="E65" s="103">
        <f>D23</f>
        <v>4.4382533713052919</v>
      </c>
      <c r="F65" s="104">
        <f>D24</f>
        <v>0.59507447481155396</v>
      </c>
      <c r="G65" s="100">
        <f>D25</f>
        <v>155.6736649200966</v>
      </c>
      <c r="H65" s="100">
        <f>D26</f>
        <v>14.291880381471502</v>
      </c>
      <c r="I65" s="97">
        <f>D27</f>
        <v>6.9983925127166002E-2</v>
      </c>
    </row>
    <row r="66" spans="1:9">
      <c r="A66" s="65">
        <v>26</v>
      </c>
      <c r="B66" s="98">
        <v>16</v>
      </c>
      <c r="C66" s="99">
        <v>54</v>
      </c>
      <c r="D66" s="100">
        <f>E22</f>
        <v>88.6564846366892</v>
      </c>
      <c r="E66" s="103">
        <f>E23</f>
        <v>-0.41370640837405914</v>
      </c>
      <c r="F66" s="104">
        <f>E24</f>
        <v>0.44939570913256455</v>
      </c>
      <c r="G66" s="100">
        <f>E25</f>
        <v>75.765389798444275</v>
      </c>
      <c r="H66" s="100">
        <f>E26</f>
        <v>-12.891094838244925</v>
      </c>
      <c r="I66" s="97">
        <f>E27</f>
        <v>5.0242089506497706E-4</v>
      </c>
    </row>
    <row r="67" spans="1:9">
      <c r="A67" s="65">
        <v>26</v>
      </c>
      <c r="B67" s="98">
        <v>16</v>
      </c>
      <c r="C67" s="101">
        <v>55</v>
      </c>
      <c r="D67" s="105">
        <f>F22</f>
        <v>98.026990756413383</v>
      </c>
      <c r="E67" s="106">
        <f>F23</f>
        <v>-0.41370640837405914</v>
      </c>
      <c r="F67" s="107">
        <f>F24</f>
        <v>0.44939570913256455</v>
      </c>
      <c r="G67" s="100">
        <f>F25</f>
        <v>97.395479996002067</v>
      </c>
      <c r="H67" s="100">
        <f>F26</f>
        <v>-0.64422130633445351</v>
      </c>
      <c r="I67" s="97">
        <f>F27</f>
        <v>0.31508682379692354</v>
      </c>
    </row>
    <row r="68" spans="1:9">
      <c r="A68" s="65">
        <v>26</v>
      </c>
      <c r="B68" s="98">
        <v>16</v>
      </c>
      <c r="C68" s="101">
        <v>56</v>
      </c>
      <c r="D68" s="108">
        <f>G22</f>
        <v>25.196726768579442</v>
      </c>
      <c r="E68" s="100">
        <f>G23</f>
        <v>-0.65209851135970609</v>
      </c>
      <c r="F68" s="97">
        <f>G24</f>
        <v>0.23696646234051355</v>
      </c>
      <c r="G68" s="100">
        <f>G25</f>
        <v>21.381690590149297</v>
      </c>
      <c r="H68" s="100">
        <f>G23</f>
        <v>-0.65209851135970609</v>
      </c>
      <c r="I68" s="97">
        <f>G24</f>
        <v>0.23696646234051355</v>
      </c>
    </row>
    <row r="69" spans="1:9">
      <c r="A69" s="65">
        <v>26</v>
      </c>
      <c r="B69" s="98">
        <v>17</v>
      </c>
      <c r="C69" s="99">
        <v>51</v>
      </c>
      <c r="D69" s="100">
        <f>C28</f>
        <v>9.469691371124723</v>
      </c>
      <c r="E69" s="103">
        <f>C29</f>
        <v>0.50470473877327771</v>
      </c>
      <c r="F69" s="104">
        <f>C30</f>
        <v>2.1670277188531529E-2</v>
      </c>
      <c r="G69" s="100">
        <f>C31</f>
        <v>10.265917193346946</v>
      </c>
      <c r="H69" s="100">
        <f>C32</f>
        <v>0.79622582222222249</v>
      </c>
      <c r="I69" s="97">
        <f>C33</f>
        <v>7.1651873880229812E-5</v>
      </c>
    </row>
    <row r="70" spans="1:9">
      <c r="A70" s="65">
        <v>26</v>
      </c>
      <c r="B70" s="98">
        <v>17</v>
      </c>
      <c r="C70" s="99">
        <v>52</v>
      </c>
      <c r="D70" s="100">
        <f>D28</f>
        <v>109.12433860439263</v>
      </c>
      <c r="E70" s="103">
        <f>D29</f>
        <v>0.53742076386251858</v>
      </c>
      <c r="F70" s="104">
        <f>D30</f>
        <v>0.93371528387069702</v>
      </c>
      <c r="G70" s="100">
        <f>D31</f>
        <v>107.29695008296763</v>
      </c>
      <c r="H70" s="100">
        <f>D32</f>
        <v>-1.6745929870418859</v>
      </c>
      <c r="I70" s="97">
        <f>D33</f>
        <v>0.81666507084028794</v>
      </c>
    </row>
    <row r="71" spans="1:9">
      <c r="A71" s="65">
        <v>26</v>
      </c>
      <c r="B71" s="98">
        <v>17</v>
      </c>
      <c r="C71" s="99">
        <v>54</v>
      </c>
      <c r="D71" s="100">
        <f>E28</f>
        <v>93.969828431314298</v>
      </c>
      <c r="E71" s="103">
        <f>E29</f>
        <v>0.33910116219541164</v>
      </c>
      <c r="F71" s="104">
        <f>E30</f>
        <v>0.52074304716681619</v>
      </c>
      <c r="G71" s="100">
        <f>E31</f>
        <v>87.213469764890689</v>
      </c>
      <c r="H71" s="100">
        <f>E32</f>
        <v>-6.7563586664236084</v>
      </c>
      <c r="I71" s="97">
        <f>E33</f>
        <v>8.9405475291759145E-5</v>
      </c>
    </row>
    <row r="72" spans="1:9">
      <c r="A72" s="65">
        <v>26</v>
      </c>
      <c r="B72" s="98">
        <v>17</v>
      </c>
      <c r="C72" s="101">
        <v>55</v>
      </c>
      <c r="D72" s="105">
        <f>F28</f>
        <v>96.792956255116209</v>
      </c>
      <c r="E72" s="106">
        <f>F29</f>
        <v>0.33910116219541164</v>
      </c>
      <c r="F72" s="107">
        <f>F30</f>
        <v>0.52074304716681619</v>
      </c>
      <c r="G72" s="100">
        <f>F31</f>
        <v>96.785570008395737</v>
      </c>
      <c r="H72" s="100">
        <f>F32</f>
        <v>-7.6309754410200156E-3</v>
      </c>
      <c r="I72" s="97">
        <f>F33</f>
        <v>0.99085477941456512</v>
      </c>
    </row>
    <row r="73" spans="1:9">
      <c r="A73" s="65">
        <v>26</v>
      </c>
      <c r="B73" s="98">
        <v>17</v>
      </c>
      <c r="C73" s="101">
        <v>56</v>
      </c>
      <c r="D73" s="108">
        <f>G28</f>
        <v>32.751624340309959</v>
      </c>
      <c r="E73" s="100">
        <f>G29</f>
        <v>-0.61715834584915552</v>
      </c>
      <c r="F73" s="97">
        <f>G30</f>
        <v>0.13835729343922376</v>
      </c>
      <c r="G73" s="100">
        <f>G31</f>
        <v>30.353865704500215</v>
      </c>
      <c r="H73" s="100">
        <f>G32</f>
        <v>-2.397758635809744</v>
      </c>
      <c r="I73" s="97">
        <f>G33</f>
        <v>3.5614372621963175E-4</v>
      </c>
    </row>
    <row r="74" spans="1:9">
      <c r="A74" s="65">
        <v>26</v>
      </c>
      <c r="B74" s="98">
        <v>18</v>
      </c>
      <c r="C74" s="99">
        <v>51</v>
      </c>
      <c r="D74" s="100">
        <f>C34</f>
        <v>19.620417492556388</v>
      </c>
      <c r="E74" s="103">
        <f>C35</f>
        <v>0.70269411885163802</v>
      </c>
      <c r="F74" s="104">
        <f>C36</f>
        <v>7.9850436479590725E-3</v>
      </c>
      <c r="G74" s="100">
        <f>C37</f>
        <v>20.640874792556385</v>
      </c>
      <c r="H74" s="100">
        <f>C38</f>
        <v>1.0204572999999968</v>
      </c>
      <c r="I74" s="97">
        <f>C39</f>
        <v>1.7584047202086987E-4</v>
      </c>
    </row>
    <row r="75" spans="1:9">
      <c r="A75" s="65">
        <v>26</v>
      </c>
      <c r="B75" s="98">
        <v>18</v>
      </c>
      <c r="C75" s="99">
        <v>52</v>
      </c>
      <c r="D75" s="100">
        <f>D34</f>
        <v>50.772018005097287</v>
      </c>
      <c r="E75" s="103">
        <f>D35</f>
        <v>-1.3352494743771237</v>
      </c>
      <c r="F75" s="104">
        <f>D36</f>
        <v>0.78735637664794922</v>
      </c>
      <c r="G75" s="100">
        <f>D37</f>
        <v>57.704630083680193</v>
      </c>
      <c r="H75" s="100">
        <f>D38</f>
        <v>13.654395375592326</v>
      </c>
      <c r="I75" s="97">
        <f>D39</f>
        <v>0.40140393468320112</v>
      </c>
    </row>
    <row r="76" spans="1:9">
      <c r="A76" s="65">
        <v>26</v>
      </c>
      <c r="B76" s="98">
        <v>18</v>
      </c>
      <c r="C76" s="99">
        <v>54</v>
      </c>
      <c r="D76" s="100">
        <f>E34</f>
        <v>85.362316320964354</v>
      </c>
      <c r="E76" s="103">
        <f>E35</f>
        <v>0.34634141936301133</v>
      </c>
      <c r="F76" s="104">
        <f>E36</f>
        <v>0.83967010053645696</v>
      </c>
      <c r="G76" s="100">
        <f>E37</f>
        <v>81.103028636121564</v>
      </c>
      <c r="H76" s="100">
        <f>E38</f>
        <v>-4.2592876848427892</v>
      </c>
      <c r="I76" s="97">
        <f>E39</f>
        <v>7.8842952012521535E-4</v>
      </c>
    </row>
    <row r="77" spans="1:9">
      <c r="A77" s="65">
        <v>26</v>
      </c>
      <c r="B77" s="98">
        <v>18</v>
      </c>
      <c r="C77" s="101">
        <v>55</v>
      </c>
      <c r="D77" s="105">
        <f>F34</f>
        <v>91.008680084465126</v>
      </c>
      <c r="E77" s="106">
        <f>F35</f>
        <v>0.34634141936301133</v>
      </c>
      <c r="F77" s="107">
        <f>F36</f>
        <v>0.83967010053645696</v>
      </c>
      <c r="G77" s="100">
        <f>F37</f>
        <v>88.672208826542146</v>
      </c>
      <c r="H77" s="100">
        <f>F38</f>
        <v>-2.5673059490089396</v>
      </c>
      <c r="I77" s="97">
        <f>F39</f>
        <v>0.1027527294799585</v>
      </c>
    </row>
    <row r="78" spans="1:9">
      <c r="A78" s="65">
        <v>26</v>
      </c>
      <c r="B78" s="98">
        <v>18</v>
      </c>
      <c r="C78" s="101">
        <v>56</v>
      </c>
      <c r="D78" s="108">
        <f>G34</f>
        <v>6.9846832349458907</v>
      </c>
      <c r="E78" s="100">
        <f>G35</f>
        <v>-0.51628533404781884</v>
      </c>
      <c r="F78" s="97">
        <f>G36</f>
        <v>2.5300991966416102E-2</v>
      </c>
      <c r="G78" s="100">
        <f>G37</f>
        <v>6.3958770448214501</v>
      </c>
      <c r="H78" s="100">
        <f>G38</f>
        <v>-0.58880619012444058</v>
      </c>
      <c r="I78" s="97">
        <f>G39</f>
        <v>7.3563336389883071E-5</v>
      </c>
    </row>
    <row r="79" spans="1:9">
      <c r="A79" s="65">
        <v>26</v>
      </c>
      <c r="B79" s="98">
        <v>19</v>
      </c>
      <c r="C79" s="99">
        <v>51</v>
      </c>
      <c r="D79" s="100">
        <f>C40</f>
        <v>22.568309746224184</v>
      </c>
      <c r="E79" s="103">
        <f>C41</f>
        <v>0.93484661813213477</v>
      </c>
      <c r="F79" s="104">
        <f>C42</f>
        <v>5.1095780502098068E-3</v>
      </c>
      <c r="G79" s="100">
        <f>C43</f>
        <v>23.516547879557514</v>
      </c>
      <c r="H79" s="100">
        <f>C44</f>
        <v>0.94823813333333007</v>
      </c>
      <c r="I79" s="97">
        <f>C45</f>
        <v>4.2162744836113496E-3</v>
      </c>
    </row>
    <row r="80" spans="1:9">
      <c r="A80" s="65">
        <v>26</v>
      </c>
      <c r="B80" s="98">
        <v>19</v>
      </c>
      <c r="C80" s="99">
        <v>52</v>
      </c>
      <c r="D80" s="100">
        <f>D40</f>
        <v>39.187429510407405</v>
      </c>
      <c r="E80" s="100">
        <f>D41</f>
        <v>-4.0154651445605722</v>
      </c>
      <c r="F80" s="104">
        <f>D42</f>
        <v>0.46724864840507507</v>
      </c>
      <c r="G80" s="100">
        <f>D43</f>
        <v>41.776580079922347</v>
      </c>
      <c r="H80" s="100">
        <f>D44</f>
        <v>6.6070946777137225</v>
      </c>
      <c r="I80" s="97">
        <f>D45</f>
        <v>0.76136961916523038</v>
      </c>
    </row>
    <row r="81" spans="1:9">
      <c r="A81" s="65">
        <v>26</v>
      </c>
      <c r="B81" s="98">
        <v>19</v>
      </c>
      <c r="C81" s="99">
        <v>54</v>
      </c>
      <c r="D81" s="100">
        <f>E40</f>
        <v>95.094927898450422</v>
      </c>
      <c r="E81" s="103">
        <f>E41</f>
        <v>1.5381670083267951</v>
      </c>
      <c r="F81" s="104">
        <f>E42</f>
        <v>0.43495557563745435</v>
      </c>
      <c r="G81" s="100">
        <f>E43</f>
        <v>96.444282703769062</v>
      </c>
      <c r="H81" s="100">
        <f>E44</f>
        <v>1.3493548053186402</v>
      </c>
      <c r="I81" s="97">
        <f>E45</f>
        <v>5.9402971340873599E-2</v>
      </c>
    </row>
    <row r="82" spans="1:9">
      <c r="A82" s="65">
        <v>26</v>
      </c>
      <c r="B82" s="98">
        <v>19</v>
      </c>
      <c r="C82" s="101">
        <v>55</v>
      </c>
      <c r="D82" s="105">
        <f>F40</f>
        <v>90.869223142059838</v>
      </c>
      <c r="E82" s="106">
        <f>F41</f>
        <v>1.5381670083267951</v>
      </c>
      <c r="F82" s="107">
        <f>F42</f>
        <v>0.43495557563745435</v>
      </c>
      <c r="G82" s="100">
        <f>F43</f>
        <v>90.586302380767592</v>
      </c>
      <c r="H82" s="100">
        <f>F44</f>
        <v>-0.3113493782707365</v>
      </c>
      <c r="I82" s="97">
        <f>F45</f>
        <v>0.85597131655035874</v>
      </c>
    </row>
    <row r="83" spans="1:9">
      <c r="A83" s="65">
        <v>26</v>
      </c>
      <c r="B83" s="98">
        <v>19</v>
      </c>
      <c r="C83" s="101">
        <v>56</v>
      </c>
      <c r="D83" s="108">
        <f>G40</f>
        <v>6.0443881374993191</v>
      </c>
      <c r="E83" s="106">
        <f>G41</f>
        <v>-7.9705768709532818E-2</v>
      </c>
      <c r="F83" s="109">
        <f>G42</f>
        <v>0.60976184471452755</v>
      </c>
      <c r="G83" s="100">
        <f>G43</f>
        <v>6.1087257407899873</v>
      </c>
      <c r="H83" s="100">
        <f>G44</f>
        <v>6.4337603290668177E-2</v>
      </c>
      <c r="I83" s="97">
        <f>G45</f>
        <v>0.60230558816300106</v>
      </c>
    </row>
  </sheetData>
  <mergeCells count="9">
    <mergeCell ref="A40:A45"/>
    <mergeCell ref="A22:A27"/>
    <mergeCell ref="A28:A33"/>
    <mergeCell ref="A34:A39"/>
    <mergeCell ref="B2:B3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O83"/>
  <sheetViews>
    <sheetView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1" width="9.28515625" style="27" bestFit="1" customWidth="1"/>
    <col min="12" max="16384" width="9.140625" style="27"/>
  </cols>
  <sheetData>
    <row r="1" spans="1:7" ht="16.5" thickBot="1"/>
    <row r="2" spans="1:7">
      <c r="A2" s="182" t="s">
        <v>0</v>
      </c>
      <c r="B2" s="184" t="s">
        <v>22</v>
      </c>
      <c r="C2" s="92" t="s">
        <v>23</v>
      </c>
      <c r="D2" s="93"/>
      <c r="E2" s="93"/>
      <c r="F2" s="93"/>
      <c r="G2" s="94"/>
    </row>
    <row r="3" spans="1:7" ht="16.5" thickBot="1">
      <c r="A3" s="183"/>
      <c r="B3" s="185"/>
      <c r="C3" s="28" t="s">
        <v>11</v>
      </c>
      <c r="D3" s="28" t="s">
        <v>12</v>
      </c>
      <c r="E3" s="28" t="s">
        <v>13</v>
      </c>
      <c r="F3" s="28" t="s">
        <v>14</v>
      </c>
      <c r="G3" s="28" t="s">
        <v>15</v>
      </c>
    </row>
    <row r="4" spans="1:7" ht="18.75">
      <c r="A4" s="177" t="s">
        <v>1</v>
      </c>
      <c r="B4" s="24" t="s">
        <v>16</v>
      </c>
      <c r="C4" s="129">
        <v>19.320723295009664</v>
      </c>
      <c r="D4" s="31">
        <v>155.53777777777776</v>
      </c>
      <c r="E4" s="30">
        <v>93.892053297090385</v>
      </c>
      <c r="F4" s="30">
        <v>97.074492325820373</v>
      </c>
      <c r="G4" s="130">
        <v>6.3782316300818831</v>
      </c>
    </row>
    <row r="5" spans="1:7" ht="18.75">
      <c r="A5" s="178"/>
      <c r="B5" s="21" t="s">
        <v>17</v>
      </c>
      <c r="C5" s="131">
        <v>1.0234727829641901</v>
      </c>
      <c r="D5" s="33">
        <v>5.212754912866143</v>
      </c>
      <c r="E5" s="34">
        <v>-0.60094952411915858</v>
      </c>
      <c r="F5" s="34">
        <v>-0.60094952411915858</v>
      </c>
      <c r="G5" s="132">
        <v>-0.42951612040502163</v>
      </c>
    </row>
    <row r="6" spans="1:7">
      <c r="A6" s="178"/>
      <c r="B6" s="22" t="s">
        <v>18</v>
      </c>
      <c r="C6" s="133">
        <v>2.4416406846168166E-5</v>
      </c>
      <c r="D6" s="37">
        <v>0.66646203101396329</v>
      </c>
      <c r="E6" s="37">
        <v>0.528694772634555</v>
      </c>
      <c r="F6" s="37">
        <v>0.528694772634555</v>
      </c>
      <c r="G6" s="134">
        <v>3.8084105736471853E-4</v>
      </c>
    </row>
    <row r="7" spans="1:7" ht="18.75">
      <c r="A7" s="178"/>
      <c r="B7" s="23" t="s">
        <v>19</v>
      </c>
      <c r="C7" s="78">
        <v>20.25891489500966</v>
      </c>
      <c r="D7" s="38">
        <v>150.54875519793481</v>
      </c>
      <c r="E7" s="112">
        <v>93.896803495925283</v>
      </c>
      <c r="F7" s="10">
        <v>98.532108272804933</v>
      </c>
      <c r="G7" s="113">
        <v>6.47632231646707</v>
      </c>
    </row>
    <row r="8" spans="1:7" ht="18.75">
      <c r="A8" s="178"/>
      <c r="B8" s="21" t="s">
        <v>20</v>
      </c>
      <c r="C8" s="135">
        <v>0.93819159999999613</v>
      </c>
      <c r="D8" s="40">
        <v>-3.2075953836571762</v>
      </c>
      <c r="E8" s="136">
        <v>4.7501988348983559E-3</v>
      </c>
      <c r="F8" s="10">
        <v>1.5015437238571638</v>
      </c>
      <c r="G8" s="137">
        <v>9.809068638518692E-2</v>
      </c>
    </row>
    <row r="9" spans="1:7" ht="16.5" thickBot="1">
      <c r="A9" s="179"/>
      <c r="B9" s="25" t="s">
        <v>21</v>
      </c>
      <c r="C9" s="146">
        <v>2.6931696322697054E-3</v>
      </c>
      <c r="D9" s="139">
        <v>0.70285721351928609</v>
      </c>
      <c r="E9" s="147">
        <v>0.9960157643118448</v>
      </c>
      <c r="F9" s="47">
        <v>7.5814588476932732E-2</v>
      </c>
      <c r="G9" s="141">
        <v>0.26755220666332946</v>
      </c>
    </row>
    <row r="10" spans="1:7" ht="18.75">
      <c r="A10" s="180" t="s">
        <v>2</v>
      </c>
      <c r="B10" s="20" t="s">
        <v>16</v>
      </c>
      <c r="C10" s="129">
        <v>10.970535558415396</v>
      </c>
      <c r="D10" s="31">
        <v>91.63666666666667</v>
      </c>
      <c r="E10" s="30">
        <v>95.119043071949335</v>
      </c>
      <c r="F10" s="30">
        <v>87.716102529614105</v>
      </c>
      <c r="G10" s="130">
        <v>5.8369834635095064</v>
      </c>
    </row>
    <row r="11" spans="1:7" ht="18.75">
      <c r="A11" s="178"/>
      <c r="B11" s="21" t="s">
        <v>17</v>
      </c>
      <c r="C11" s="131">
        <v>9.9556065179131611E-2</v>
      </c>
      <c r="D11" s="33">
        <v>9.7558027437894026</v>
      </c>
      <c r="E11" s="34">
        <v>3.9250302597395974</v>
      </c>
      <c r="F11" s="34">
        <v>3.9250302597395974</v>
      </c>
      <c r="G11" s="132">
        <v>0.27504840673915548</v>
      </c>
    </row>
    <row r="12" spans="1:7">
      <c r="A12" s="178"/>
      <c r="B12" s="22" t="s">
        <v>18</v>
      </c>
      <c r="C12" s="133">
        <v>0.64659451840196835</v>
      </c>
      <c r="D12" s="37">
        <v>0.25744810440746657</v>
      </c>
      <c r="E12" s="37">
        <v>8.3708045566761452E-2</v>
      </c>
      <c r="F12" s="37">
        <v>8.3708045566761452E-2</v>
      </c>
      <c r="G12" s="134">
        <v>7.5259754884914182E-2</v>
      </c>
    </row>
    <row r="13" spans="1:7" ht="18.75">
      <c r="A13" s="178"/>
      <c r="B13" s="23" t="s">
        <v>19</v>
      </c>
      <c r="C13" s="78">
        <v>12.595080708415395</v>
      </c>
      <c r="D13" s="38">
        <v>83.120375017703793</v>
      </c>
      <c r="E13" s="148">
        <v>100.34493699416913</v>
      </c>
      <c r="F13" s="10">
        <v>86.889218306182556</v>
      </c>
      <c r="G13" s="113">
        <v>6.1090061050410842</v>
      </c>
    </row>
    <row r="14" spans="1:7" ht="18.75">
      <c r="A14" s="178"/>
      <c r="B14" s="21" t="s">
        <v>20</v>
      </c>
      <c r="C14" s="135">
        <v>1.6245451499999994</v>
      </c>
      <c r="D14" s="10">
        <v>-9.293541503360597</v>
      </c>
      <c r="E14" s="11">
        <v>5.2258939222197967</v>
      </c>
      <c r="F14" s="10">
        <v>-0.9426823577260286</v>
      </c>
      <c r="G14" s="137">
        <v>0.27202264153157785</v>
      </c>
    </row>
    <row r="15" spans="1:7" ht="16.5" thickBot="1">
      <c r="A15" s="181"/>
      <c r="B15" s="26" t="s">
        <v>21</v>
      </c>
      <c r="C15" s="149">
        <v>3.9111298187626465E-6</v>
      </c>
      <c r="D15" s="48">
        <v>0.28082766744256171</v>
      </c>
      <c r="E15" s="121">
        <v>6.5150472588371293E-5</v>
      </c>
      <c r="F15" s="43">
        <v>0.64865140632412854</v>
      </c>
      <c r="G15" s="143">
        <v>8.9684080594915672E-2</v>
      </c>
    </row>
    <row r="16" spans="1:7" ht="18.75">
      <c r="A16" s="177" t="s">
        <v>3</v>
      </c>
      <c r="B16" s="24" t="s">
        <v>16</v>
      </c>
      <c r="C16" s="144">
        <v>2.1689102711306387</v>
      </c>
      <c r="D16" s="45">
        <v>39.739444444444437</v>
      </c>
      <c r="E16" s="44">
        <v>86.954667380512817</v>
      </c>
      <c r="F16" s="44">
        <v>72.025607400311756</v>
      </c>
      <c r="G16" s="145">
        <v>3.121110109887443</v>
      </c>
    </row>
    <row r="17" spans="1:7" ht="18.75">
      <c r="A17" s="178"/>
      <c r="B17" s="21" t="s">
        <v>17</v>
      </c>
      <c r="C17" s="131">
        <v>1.2660593516592016</v>
      </c>
      <c r="D17" s="33">
        <v>-0.32410085279940987</v>
      </c>
      <c r="E17" s="34">
        <v>3.9115767628492168</v>
      </c>
      <c r="F17" s="34">
        <v>3.9115767628492168</v>
      </c>
      <c r="G17" s="132">
        <v>0.13110116306304098</v>
      </c>
    </row>
    <row r="18" spans="1:7">
      <c r="A18" s="178"/>
      <c r="B18" s="22" t="s">
        <v>18</v>
      </c>
      <c r="C18" s="133">
        <v>2.6192860964637445E-2</v>
      </c>
      <c r="D18" s="37">
        <v>0.93436357629355349</v>
      </c>
      <c r="E18" s="37">
        <v>0.20860647519012743</v>
      </c>
      <c r="F18" s="37">
        <v>0.20860647519012743</v>
      </c>
      <c r="G18" s="134">
        <v>0.41412713352934838</v>
      </c>
    </row>
    <row r="19" spans="1:7" ht="18.75">
      <c r="A19" s="178"/>
      <c r="B19" s="23" t="s">
        <v>19</v>
      </c>
      <c r="C19" s="78">
        <v>3.0131410711306374</v>
      </c>
      <c r="D19" s="38">
        <v>37.121808541665004</v>
      </c>
      <c r="E19" s="112">
        <v>88.438569367813841</v>
      </c>
      <c r="F19" s="10">
        <v>70.576577693743459</v>
      </c>
      <c r="G19" s="113">
        <v>3.1294220200376026</v>
      </c>
    </row>
    <row r="20" spans="1:7" ht="18.75">
      <c r="A20" s="178"/>
      <c r="B20" s="21" t="s">
        <v>20</v>
      </c>
      <c r="C20" s="135">
        <v>0.84423079999999873</v>
      </c>
      <c r="D20" s="10">
        <v>-6.5869967217052459</v>
      </c>
      <c r="E20" s="11">
        <v>1.4839019873010244</v>
      </c>
      <c r="F20" s="10">
        <v>-2.0118257365255086</v>
      </c>
      <c r="G20" s="137">
        <v>8.3119101501596404E-3</v>
      </c>
    </row>
    <row r="21" spans="1:7" ht="16.5" thickBot="1">
      <c r="A21" s="179"/>
      <c r="B21" s="25" t="s">
        <v>21</v>
      </c>
      <c r="C21" s="146">
        <v>7.7738765330893453E-2</v>
      </c>
      <c r="D21" s="46">
        <v>0.5236626936782377</v>
      </c>
      <c r="E21" s="89">
        <v>0.36207209371108584</v>
      </c>
      <c r="F21" s="47">
        <v>0.54183665126633529</v>
      </c>
      <c r="G21" s="141">
        <v>0.9568925444562888</v>
      </c>
    </row>
    <row r="22" spans="1:7" ht="18.75">
      <c r="A22" s="180" t="s">
        <v>4</v>
      </c>
      <c r="B22" s="20" t="s">
        <v>16</v>
      </c>
      <c r="C22" s="129">
        <v>-2.8795109745635821</v>
      </c>
      <c r="D22" s="31">
        <v>98.216111111111118</v>
      </c>
      <c r="E22" s="30">
        <v>90.742179550340907</v>
      </c>
      <c r="F22" s="30">
        <v>95.18569546491463</v>
      </c>
      <c r="G22" s="130">
        <v>25.017744208974378</v>
      </c>
    </row>
    <row r="23" spans="1:7" ht="18.75">
      <c r="A23" s="178"/>
      <c r="B23" s="21" t="s">
        <v>17</v>
      </c>
      <c r="C23" s="131">
        <v>0.32754948153977392</v>
      </c>
      <c r="D23" s="70">
        <v>1.5261772339636623</v>
      </c>
      <c r="E23" s="34">
        <v>0.11520699676958604</v>
      </c>
      <c r="F23" s="34">
        <v>0.11520699676958604</v>
      </c>
      <c r="G23" s="132">
        <v>0.64749283800309165</v>
      </c>
    </row>
    <row r="24" spans="1:7">
      <c r="A24" s="178"/>
      <c r="B24" s="22" t="s">
        <v>18</v>
      </c>
      <c r="C24" s="133">
        <v>0.51357130455592026</v>
      </c>
      <c r="D24" s="37">
        <v>0.78642861334206482</v>
      </c>
      <c r="E24" s="37">
        <v>0.88152028250867864</v>
      </c>
      <c r="F24" s="37">
        <v>0.88152028250867864</v>
      </c>
      <c r="G24" s="134">
        <v>0.39513115745304717</v>
      </c>
    </row>
    <row r="25" spans="1:7" ht="18.75">
      <c r="A25" s="178"/>
      <c r="B25" s="23" t="s">
        <v>19</v>
      </c>
      <c r="C25" s="78">
        <v>-1.6321336190080267</v>
      </c>
      <c r="D25" s="38">
        <v>106.58587467221382</v>
      </c>
      <c r="E25" s="112">
        <v>90.861357598339055</v>
      </c>
      <c r="F25" s="10">
        <v>95.063164535600308</v>
      </c>
      <c r="G25" s="113">
        <v>25.011335306082472</v>
      </c>
    </row>
    <row r="26" spans="1:7" ht="18.75">
      <c r="A26" s="178"/>
      <c r="B26" s="21" t="s">
        <v>20</v>
      </c>
      <c r="C26" s="135">
        <v>1.2473773555555554</v>
      </c>
      <c r="D26" s="10">
        <v>8.5217826957473974</v>
      </c>
      <c r="E26" s="11">
        <v>0.11917804799814746</v>
      </c>
      <c r="F26" s="10">
        <v>-0.12872830178509634</v>
      </c>
      <c r="G26" s="115">
        <v>-6.4089028919056545E-3</v>
      </c>
    </row>
    <row r="27" spans="1:7" ht="16.5" thickBot="1">
      <c r="A27" s="181"/>
      <c r="B27" s="26" t="s">
        <v>21</v>
      </c>
      <c r="C27" s="149">
        <v>6.2634811692873779E-3</v>
      </c>
      <c r="D27" s="48">
        <v>0.23688491292289149</v>
      </c>
      <c r="E27" s="121">
        <v>0.93517074697067393</v>
      </c>
      <c r="F27" s="43">
        <v>0.79450243643159246</v>
      </c>
      <c r="G27" s="122">
        <v>0.98807304027762666</v>
      </c>
    </row>
    <row r="28" spans="1:7" ht="18.75">
      <c r="A28" s="177" t="s">
        <v>5</v>
      </c>
      <c r="B28" s="24" t="s">
        <v>16</v>
      </c>
      <c r="C28" s="144">
        <v>8.4341439203650008</v>
      </c>
      <c r="D28" s="45">
        <v>134.38833333333332</v>
      </c>
      <c r="E28" s="44">
        <v>97.187064940790023</v>
      </c>
      <c r="F28" s="44">
        <v>98.087088513736944</v>
      </c>
      <c r="G28" s="145">
        <v>34.324867568583187</v>
      </c>
    </row>
    <row r="29" spans="1:7" ht="18.75">
      <c r="A29" s="178"/>
      <c r="B29" s="21" t="s">
        <v>17</v>
      </c>
      <c r="C29" s="131">
        <v>0.49528782129273063</v>
      </c>
      <c r="D29" s="70">
        <v>-2.9137931034482829</v>
      </c>
      <c r="E29" s="34">
        <v>-0.6132501235474096</v>
      </c>
      <c r="F29" s="34">
        <v>-0.6132501235474096</v>
      </c>
      <c r="G29" s="132">
        <v>-0.25301183386999865</v>
      </c>
    </row>
    <row r="30" spans="1:7">
      <c r="A30" s="178"/>
      <c r="B30" s="22" t="s">
        <v>18</v>
      </c>
      <c r="C30" s="133">
        <v>6.1376715586902199E-2</v>
      </c>
      <c r="D30" s="37">
        <v>0.72965593022046682</v>
      </c>
      <c r="E30" s="49">
        <v>0.28835046060631098</v>
      </c>
      <c r="F30" s="49">
        <v>0.28835046060631098</v>
      </c>
      <c r="G30" s="134">
        <v>0.52155224166553826</v>
      </c>
    </row>
    <row r="31" spans="1:7" ht="18.75">
      <c r="A31" s="178"/>
      <c r="B31" s="23" t="s">
        <v>19</v>
      </c>
      <c r="C31" s="78">
        <v>9.1993229648094452</v>
      </c>
      <c r="D31" s="38">
        <v>133.69301224386189</v>
      </c>
      <c r="E31" s="112">
        <v>93.717193255473916</v>
      </c>
      <c r="F31" s="10">
        <v>97.644881427473166</v>
      </c>
      <c r="G31" s="113">
        <v>32.933098250173558</v>
      </c>
    </row>
    <row r="32" spans="1:7" ht="18.75">
      <c r="A32" s="178"/>
      <c r="B32" s="21" t="s">
        <v>20</v>
      </c>
      <c r="C32" s="135">
        <v>0.7651790444444444</v>
      </c>
      <c r="D32" s="10">
        <v>-0.51739691402138122</v>
      </c>
      <c r="E32" s="11">
        <v>-3.4698716853161073</v>
      </c>
      <c r="F32" s="10">
        <v>-0.45083108588939885</v>
      </c>
      <c r="G32" s="115">
        <v>-1.3917693184096294</v>
      </c>
    </row>
    <row r="33" spans="1:15" ht="16.5" thickBot="1">
      <c r="A33" s="179"/>
      <c r="B33" s="25" t="s">
        <v>21</v>
      </c>
      <c r="C33" s="146">
        <v>1.3467391081385274E-3</v>
      </c>
      <c r="D33" s="46">
        <v>0.93277116197822518</v>
      </c>
      <c r="E33" s="117">
        <v>4.5885004761232811E-3</v>
      </c>
      <c r="F33" s="47">
        <v>0.27809400692982134</v>
      </c>
      <c r="G33" s="118">
        <v>3.2018285979110855E-3</v>
      </c>
    </row>
    <row r="34" spans="1:15" ht="18.75">
      <c r="A34" s="177" t="s">
        <v>6</v>
      </c>
      <c r="B34" s="24" t="s">
        <v>16</v>
      </c>
      <c r="C34" s="129">
        <v>17.797153881242252</v>
      </c>
      <c r="D34" s="31">
        <v>90.565000000000012</v>
      </c>
      <c r="E34" s="30">
        <v>95.76429584587612</v>
      </c>
      <c r="F34" s="30">
        <v>74.3723300325113</v>
      </c>
      <c r="G34" s="130">
        <v>6.393141137586392</v>
      </c>
    </row>
    <row r="35" spans="1:15" ht="18.75">
      <c r="A35" s="178"/>
      <c r="B35" s="21" t="s">
        <v>17</v>
      </c>
      <c r="C35" s="131">
        <v>0.61476264797525781</v>
      </c>
      <c r="D35" s="33">
        <v>-9.2616611049313864</v>
      </c>
      <c r="E35" s="34">
        <v>3.5712817722640717</v>
      </c>
      <c r="F35" s="34">
        <v>3.5712817722640717</v>
      </c>
      <c r="G35" s="132">
        <v>0.1670157280521132</v>
      </c>
    </row>
    <row r="36" spans="1:15">
      <c r="A36" s="178"/>
      <c r="B36" s="22" t="s">
        <v>18</v>
      </c>
      <c r="C36" s="133">
        <v>2.885024900525408E-2</v>
      </c>
      <c r="D36" s="37">
        <v>0.24273032029191188</v>
      </c>
      <c r="E36" s="37">
        <v>0.32684642380039042</v>
      </c>
      <c r="F36" s="37">
        <v>0.32684642380039042</v>
      </c>
      <c r="G36" s="134">
        <v>0.59854561486567537</v>
      </c>
    </row>
    <row r="37" spans="1:15" ht="18.75">
      <c r="A37" s="178"/>
      <c r="B37" s="23" t="s">
        <v>19</v>
      </c>
      <c r="C37" s="78">
        <v>18.84679398124225</v>
      </c>
      <c r="D37" s="38">
        <v>96.956997676178005</v>
      </c>
      <c r="E37" s="112">
        <v>94.784362235101213</v>
      </c>
      <c r="F37" s="10">
        <v>71.542130655373711</v>
      </c>
      <c r="G37" s="113">
        <v>6.0679239250842736</v>
      </c>
    </row>
    <row r="38" spans="1:15" ht="18.75">
      <c r="A38" s="178"/>
      <c r="B38" s="21" t="s">
        <v>20</v>
      </c>
      <c r="C38" s="135">
        <v>1.0496400999999977</v>
      </c>
      <c r="D38" s="10">
        <v>7.0579116393507393</v>
      </c>
      <c r="E38" s="11">
        <v>-0.97993361077490704</v>
      </c>
      <c r="F38" s="10">
        <v>-3.8054466975828136</v>
      </c>
      <c r="G38" s="115">
        <v>-0.32521721250211844</v>
      </c>
    </row>
    <row r="39" spans="1:15" ht="16.5" thickBot="1">
      <c r="A39" s="179"/>
      <c r="B39" s="25" t="s">
        <v>21</v>
      </c>
      <c r="C39" s="149">
        <v>6.0923805808204439E-4</v>
      </c>
      <c r="D39" s="48">
        <v>0.41784600124907001</v>
      </c>
      <c r="E39" s="121">
        <v>8.215896655761476E-2</v>
      </c>
      <c r="F39" s="43">
        <v>0.43532581903113665</v>
      </c>
      <c r="G39" s="122">
        <v>0.31499978206737089</v>
      </c>
    </row>
    <row r="40" spans="1:15" ht="18.75">
      <c r="A40" s="180" t="s">
        <v>7</v>
      </c>
      <c r="B40" s="20" t="s">
        <v>16</v>
      </c>
      <c r="C40" s="144">
        <v>19.698861299418684</v>
      </c>
      <c r="D40" s="45">
        <v>89.202777777777811</v>
      </c>
      <c r="E40" s="44">
        <v>92.688171082627051</v>
      </c>
      <c r="F40" s="44">
        <v>69.869671286775798</v>
      </c>
      <c r="G40" s="145">
        <v>4.5512732765683444</v>
      </c>
    </row>
    <row r="41" spans="1:15" ht="18.75">
      <c r="A41" s="178"/>
      <c r="B41" s="21" t="s">
        <v>17</v>
      </c>
      <c r="C41" s="131">
        <v>1.1744186573211455</v>
      </c>
      <c r="D41" s="33">
        <v>0.77660363366707208</v>
      </c>
      <c r="E41" s="34">
        <v>-0.21031296186463705</v>
      </c>
      <c r="F41" s="34">
        <v>-0.21031296186463705</v>
      </c>
      <c r="G41" s="132">
        <v>0.2182764487179078</v>
      </c>
    </row>
    <row r="42" spans="1:15">
      <c r="A42" s="178"/>
      <c r="B42" s="22" t="s">
        <v>18</v>
      </c>
      <c r="C42" s="133">
        <v>1.3997449535017625E-4</v>
      </c>
      <c r="D42" s="37">
        <v>0.93623650472012188</v>
      </c>
      <c r="E42" s="49">
        <v>0.96320893618769132</v>
      </c>
      <c r="F42" s="49">
        <v>0.96320893618769132</v>
      </c>
      <c r="G42" s="134">
        <v>0.48790722178758916</v>
      </c>
    </row>
    <row r="43" spans="1:15" ht="18.75">
      <c r="A43" s="178"/>
      <c r="B43" s="23" t="s">
        <v>19</v>
      </c>
      <c r="C43" s="78">
        <v>20.398086332752015</v>
      </c>
      <c r="D43" s="38">
        <v>87.709714497306891</v>
      </c>
      <c r="E43" s="112">
        <v>96.825167810555953</v>
      </c>
      <c r="F43" s="10">
        <v>70.718530297483426</v>
      </c>
      <c r="G43" s="113">
        <v>4.821226645017</v>
      </c>
    </row>
    <row r="44" spans="1:15" ht="18.75">
      <c r="A44" s="178"/>
      <c r="B44" s="21" t="s">
        <v>20</v>
      </c>
      <c r="C44" s="135">
        <v>0.69922503333333097</v>
      </c>
      <c r="D44" s="10">
        <v>-1.6737856350061668</v>
      </c>
      <c r="E44" s="11">
        <v>4.1369967279289028</v>
      </c>
      <c r="F44" s="10">
        <v>1.21491771046631</v>
      </c>
      <c r="G44" s="137">
        <v>0.2699533684486557</v>
      </c>
    </row>
    <row r="45" spans="1:15" ht="16.5" thickBot="1">
      <c r="A45" s="179"/>
      <c r="B45" s="25" t="s">
        <v>21</v>
      </c>
      <c r="C45" s="149">
        <v>5.1842944548735656E-2</v>
      </c>
      <c r="D45" s="48">
        <v>0.88822697440025689</v>
      </c>
      <c r="E45" s="121">
        <v>5.2886356619484869E-2</v>
      </c>
      <c r="F45" s="43">
        <v>0.84530591715512493</v>
      </c>
      <c r="G45" s="143">
        <v>0.40990392961046251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19.320723295009664</v>
      </c>
      <c r="E49" s="100">
        <f>C5</f>
        <v>1.0234727829641901</v>
      </c>
      <c r="F49" s="97">
        <f>C6</f>
        <v>2.4416406846168166E-5</v>
      </c>
      <c r="G49" s="100">
        <f>C7</f>
        <v>20.25891489500966</v>
      </c>
      <c r="H49" s="100">
        <f>C8</f>
        <v>0.93819159999999613</v>
      </c>
      <c r="I49" s="97">
        <f>C9</f>
        <v>2.6931696322697054E-3</v>
      </c>
    </row>
    <row r="50" spans="1:9">
      <c r="A50" s="65">
        <v>26</v>
      </c>
      <c r="B50" s="98">
        <v>13</v>
      </c>
      <c r="C50" s="99">
        <v>52</v>
      </c>
      <c r="D50" s="100">
        <f>D4</f>
        <v>155.53777777777776</v>
      </c>
      <c r="E50" s="100">
        <f>D5</f>
        <v>5.212754912866143</v>
      </c>
      <c r="F50" s="97">
        <f>D6</f>
        <v>0.66646203101396329</v>
      </c>
      <c r="G50" s="100">
        <f>D7</f>
        <v>150.54875519793481</v>
      </c>
      <c r="H50" s="100">
        <f>D8</f>
        <v>-3.2075953836571762</v>
      </c>
      <c r="I50" s="97">
        <f>D9</f>
        <v>0.70285721351928609</v>
      </c>
    </row>
    <row r="51" spans="1:9">
      <c r="A51" s="65">
        <v>26</v>
      </c>
      <c r="B51" s="98">
        <v>13</v>
      </c>
      <c r="C51" s="99">
        <v>54</v>
      </c>
      <c r="D51" s="100">
        <f>E4</f>
        <v>93.892053297090385</v>
      </c>
      <c r="E51" s="100">
        <f>E5</f>
        <v>-0.60094952411915858</v>
      </c>
      <c r="F51" s="97">
        <f>E6</f>
        <v>0.528694772634555</v>
      </c>
      <c r="G51" s="100">
        <f>E7</f>
        <v>93.896803495925283</v>
      </c>
      <c r="H51" s="100">
        <f>E8</f>
        <v>4.7501988348983559E-3</v>
      </c>
      <c r="I51" s="97">
        <f>E9</f>
        <v>0.9960157643118448</v>
      </c>
    </row>
    <row r="52" spans="1:9">
      <c r="A52" s="65">
        <v>26</v>
      </c>
      <c r="B52" s="98">
        <v>13</v>
      </c>
      <c r="C52" s="101">
        <v>55</v>
      </c>
      <c r="D52" s="100">
        <f>F4</f>
        <v>97.074492325820373</v>
      </c>
      <c r="E52" s="100">
        <f>F5</f>
        <v>-0.60094952411915858</v>
      </c>
      <c r="F52" s="97">
        <f>F6</f>
        <v>0.528694772634555</v>
      </c>
      <c r="G52" s="100">
        <f>F7</f>
        <v>98.532108272804933</v>
      </c>
      <c r="H52" s="100">
        <f>F8</f>
        <v>1.5015437238571638</v>
      </c>
      <c r="I52" s="97">
        <f>F9</f>
        <v>7.5814588476932732E-2</v>
      </c>
    </row>
    <row r="53" spans="1:9">
      <c r="A53" s="65">
        <v>26</v>
      </c>
      <c r="B53" s="98">
        <v>13</v>
      </c>
      <c r="C53" s="101">
        <v>56</v>
      </c>
      <c r="D53" s="100">
        <f>G4</f>
        <v>6.3782316300818831</v>
      </c>
      <c r="E53" s="100">
        <f>G5</f>
        <v>-0.42951612040502163</v>
      </c>
      <c r="F53" s="97">
        <f>G6</f>
        <v>3.8084105736471853E-4</v>
      </c>
      <c r="G53" s="100">
        <f>G7</f>
        <v>6.47632231646707</v>
      </c>
      <c r="H53" s="100">
        <f>G8</f>
        <v>9.809068638518692E-2</v>
      </c>
      <c r="I53" s="97">
        <f>G9</f>
        <v>0.26755220666332946</v>
      </c>
    </row>
    <row r="54" spans="1:9">
      <c r="A54" s="65">
        <v>26</v>
      </c>
      <c r="B54" s="98">
        <v>14</v>
      </c>
      <c r="C54" s="99">
        <v>51</v>
      </c>
      <c r="D54" s="100">
        <f>C10</f>
        <v>10.970535558415396</v>
      </c>
      <c r="E54" s="100">
        <f>C11</f>
        <v>9.9556065179131611E-2</v>
      </c>
      <c r="F54" s="97">
        <f>C12</f>
        <v>0.64659451840196835</v>
      </c>
      <c r="G54" s="100">
        <f>C13</f>
        <v>12.595080708415395</v>
      </c>
      <c r="H54" s="100">
        <f>C14</f>
        <v>1.6245451499999994</v>
      </c>
      <c r="I54" s="97">
        <f>C15</f>
        <v>3.9111298187626465E-6</v>
      </c>
    </row>
    <row r="55" spans="1:9">
      <c r="A55" s="65">
        <v>26</v>
      </c>
      <c r="B55" s="98">
        <v>14</v>
      </c>
      <c r="C55" s="99">
        <v>52</v>
      </c>
      <c r="D55" s="100">
        <f>D10</f>
        <v>91.63666666666667</v>
      </c>
      <c r="E55" s="100">
        <f>D11</f>
        <v>9.7558027437894026</v>
      </c>
      <c r="F55" s="97">
        <f>D12</f>
        <v>0.25744810440746657</v>
      </c>
      <c r="G55" s="100">
        <f>D13</f>
        <v>83.120375017703793</v>
      </c>
      <c r="H55" s="100">
        <f>D14</f>
        <v>-9.293541503360597</v>
      </c>
      <c r="I55" s="97">
        <f>D15</f>
        <v>0.28082766744256171</v>
      </c>
    </row>
    <row r="56" spans="1:9">
      <c r="A56" s="65">
        <v>26</v>
      </c>
      <c r="B56" s="98">
        <v>14</v>
      </c>
      <c r="C56" s="99">
        <v>54</v>
      </c>
      <c r="D56" s="100">
        <f>E10</f>
        <v>95.119043071949335</v>
      </c>
      <c r="E56" s="100">
        <f>E11</f>
        <v>3.9250302597395974</v>
      </c>
      <c r="F56" s="97">
        <f>E12</f>
        <v>8.3708045566761452E-2</v>
      </c>
      <c r="G56" s="100">
        <f>E13</f>
        <v>100.34493699416913</v>
      </c>
      <c r="H56" s="100">
        <f>E14</f>
        <v>5.2258939222197967</v>
      </c>
      <c r="I56" s="97">
        <f>E15</f>
        <v>6.5150472588371293E-5</v>
      </c>
    </row>
    <row r="57" spans="1:9">
      <c r="A57" s="65">
        <v>26</v>
      </c>
      <c r="B57" s="98">
        <v>14</v>
      </c>
      <c r="C57" s="101">
        <v>55</v>
      </c>
      <c r="D57" s="100">
        <f>F10</f>
        <v>87.716102529614105</v>
      </c>
      <c r="E57" s="100">
        <f>F11</f>
        <v>3.9250302597395974</v>
      </c>
      <c r="F57" s="97">
        <f>F12</f>
        <v>8.3708045566761452E-2</v>
      </c>
      <c r="G57" s="100">
        <f>F13</f>
        <v>86.889218306182556</v>
      </c>
      <c r="H57" s="100">
        <f>F14</f>
        <v>-0.9426823577260286</v>
      </c>
      <c r="I57" s="97">
        <f>F15</f>
        <v>0.64865140632412854</v>
      </c>
    </row>
    <row r="58" spans="1:9">
      <c r="A58" s="65">
        <v>26</v>
      </c>
      <c r="B58" s="98">
        <v>14</v>
      </c>
      <c r="C58" s="101">
        <v>56</v>
      </c>
      <c r="D58" s="100">
        <f>G10</f>
        <v>5.8369834635095064</v>
      </c>
      <c r="E58" s="100">
        <f>G11</f>
        <v>0.27504840673915548</v>
      </c>
      <c r="F58" s="97">
        <f>G12</f>
        <v>7.5259754884914182E-2</v>
      </c>
      <c r="G58" s="100">
        <f>G13</f>
        <v>6.1090061050410842</v>
      </c>
      <c r="H58" s="100">
        <f>G14</f>
        <v>0.27202264153157785</v>
      </c>
      <c r="I58" s="97">
        <f>G15</f>
        <v>8.9684080594915672E-2</v>
      </c>
    </row>
    <row r="59" spans="1:9">
      <c r="A59" s="65">
        <v>26</v>
      </c>
      <c r="B59" s="98">
        <v>15</v>
      </c>
      <c r="C59" s="99">
        <v>51</v>
      </c>
      <c r="D59" s="100">
        <f>C16</f>
        <v>2.1689102711306387</v>
      </c>
      <c r="E59" s="100">
        <f>C17</f>
        <v>1.2660593516592016</v>
      </c>
      <c r="F59" s="97">
        <f>C18</f>
        <v>2.6192860964637445E-2</v>
      </c>
      <c r="G59" s="100">
        <f>C19</f>
        <v>3.0131410711306374</v>
      </c>
      <c r="H59" s="100">
        <f>C20</f>
        <v>0.84423079999999873</v>
      </c>
      <c r="I59" s="97">
        <f>C21</f>
        <v>7.7738765330893453E-2</v>
      </c>
    </row>
    <row r="60" spans="1:9">
      <c r="A60" s="65">
        <v>26</v>
      </c>
      <c r="B60" s="98">
        <v>15</v>
      </c>
      <c r="C60" s="99">
        <v>52</v>
      </c>
      <c r="D60" s="100">
        <f>D16</f>
        <v>39.739444444444437</v>
      </c>
      <c r="E60" s="100">
        <f>D17</f>
        <v>-0.32410085279940987</v>
      </c>
      <c r="F60" s="97">
        <f>D18</f>
        <v>0.93436357629355349</v>
      </c>
      <c r="G60" s="100">
        <f>D19</f>
        <v>37.121808541665004</v>
      </c>
      <c r="H60" s="100">
        <f>D20</f>
        <v>-6.5869967217052459</v>
      </c>
      <c r="I60" s="97">
        <f>D21</f>
        <v>0.5236626936782377</v>
      </c>
    </row>
    <row r="61" spans="1:9">
      <c r="A61" s="65">
        <v>26</v>
      </c>
      <c r="B61" s="98">
        <v>15</v>
      </c>
      <c r="C61" s="99">
        <v>54</v>
      </c>
      <c r="D61" s="100">
        <f>E16</f>
        <v>86.954667380512817</v>
      </c>
      <c r="E61" s="100">
        <f>E17</f>
        <v>3.9115767628492168</v>
      </c>
      <c r="F61" s="97">
        <f>E18</f>
        <v>0.20860647519012743</v>
      </c>
      <c r="G61" s="100">
        <f>E19</f>
        <v>88.438569367813841</v>
      </c>
      <c r="H61" s="100">
        <f>E20</f>
        <v>1.4839019873010244</v>
      </c>
      <c r="I61" s="97">
        <f>E21</f>
        <v>0.36207209371108584</v>
      </c>
    </row>
    <row r="62" spans="1:9">
      <c r="A62" s="65">
        <v>26</v>
      </c>
      <c r="B62" s="98">
        <v>15</v>
      </c>
      <c r="C62" s="101">
        <v>55</v>
      </c>
      <c r="D62" s="102">
        <f>F16</f>
        <v>72.025607400311756</v>
      </c>
      <c r="E62" s="100">
        <f>F17</f>
        <v>3.9115767628492168</v>
      </c>
      <c r="F62" s="97">
        <f>F18</f>
        <v>0.20860647519012743</v>
      </c>
      <c r="G62" s="100">
        <f>F19</f>
        <v>70.576577693743459</v>
      </c>
      <c r="H62" s="100">
        <f>F20</f>
        <v>-2.0118257365255086</v>
      </c>
      <c r="I62" s="97">
        <f>F21</f>
        <v>0.54183665126633529</v>
      </c>
    </row>
    <row r="63" spans="1:9">
      <c r="A63" s="65">
        <v>26</v>
      </c>
      <c r="B63" s="98">
        <v>15</v>
      </c>
      <c r="C63" s="101">
        <v>56</v>
      </c>
      <c r="D63" s="102">
        <f>G16</f>
        <v>3.121110109887443</v>
      </c>
      <c r="E63" s="100">
        <f>G17</f>
        <v>0.13110116306304098</v>
      </c>
      <c r="F63" s="97">
        <f>G18</f>
        <v>0.41412713352934838</v>
      </c>
      <c r="G63" s="100">
        <f>G19</f>
        <v>3.1294220200376026</v>
      </c>
      <c r="H63" s="100">
        <f>G20</f>
        <v>8.3119101501596404E-3</v>
      </c>
      <c r="I63" s="97">
        <f>G21</f>
        <v>0.9568925444562888</v>
      </c>
    </row>
    <row r="64" spans="1:9">
      <c r="A64" s="65">
        <v>26</v>
      </c>
      <c r="B64" s="98">
        <v>16</v>
      </c>
      <c r="C64" s="99">
        <v>51</v>
      </c>
      <c r="D64" s="100">
        <f>C22</f>
        <v>-2.8795109745635821</v>
      </c>
      <c r="E64" s="103">
        <f>C23</f>
        <v>0.32754948153977392</v>
      </c>
      <c r="F64" s="104">
        <f>C24</f>
        <v>0.51357130455592026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98.216111111111118</v>
      </c>
      <c r="E65" s="103">
        <f>D23</f>
        <v>1.5261772339636623</v>
      </c>
      <c r="F65" s="104">
        <f>D24</f>
        <v>0.78642861334206482</v>
      </c>
      <c r="G65" s="100">
        <f>D25</f>
        <v>106.58587467221382</v>
      </c>
      <c r="H65" s="100">
        <f>D26</f>
        <v>8.5217826957473974</v>
      </c>
      <c r="I65" s="97">
        <f>D27</f>
        <v>0.23688491292289149</v>
      </c>
    </row>
    <row r="66" spans="1:9">
      <c r="A66" s="65">
        <v>26</v>
      </c>
      <c r="B66" s="98">
        <v>16</v>
      </c>
      <c r="C66" s="99">
        <v>54</v>
      </c>
      <c r="D66" s="100">
        <f>E22</f>
        <v>90.742179550340907</v>
      </c>
      <c r="E66" s="103">
        <f>E23</f>
        <v>0.11520699676958604</v>
      </c>
      <c r="F66" s="104">
        <f>E24</f>
        <v>0.88152028250867864</v>
      </c>
      <c r="G66" s="100">
        <f>E25</f>
        <v>90.861357598339055</v>
      </c>
      <c r="H66" s="100">
        <f>E26</f>
        <v>0.11917804799814746</v>
      </c>
      <c r="I66" s="97">
        <f>E27</f>
        <v>0.93517074697067393</v>
      </c>
    </row>
    <row r="67" spans="1:9">
      <c r="A67" s="65">
        <v>26</v>
      </c>
      <c r="B67" s="98">
        <v>16</v>
      </c>
      <c r="C67" s="101">
        <v>55</v>
      </c>
      <c r="D67" s="105">
        <f>F22</f>
        <v>95.18569546491463</v>
      </c>
      <c r="E67" s="106">
        <f>F23</f>
        <v>0.11520699676958604</v>
      </c>
      <c r="F67" s="107">
        <f>F24</f>
        <v>0.88152028250867864</v>
      </c>
      <c r="G67" s="100">
        <f>F25</f>
        <v>95.063164535600308</v>
      </c>
      <c r="H67" s="100">
        <f>F26</f>
        <v>-0.12872830178509634</v>
      </c>
      <c r="I67" s="97">
        <f>F27</f>
        <v>0.79450243643159246</v>
      </c>
    </row>
    <row r="68" spans="1:9">
      <c r="A68" s="65">
        <v>26</v>
      </c>
      <c r="B68" s="98">
        <v>16</v>
      </c>
      <c r="C68" s="101">
        <v>56</v>
      </c>
      <c r="D68" s="108">
        <f>G22</f>
        <v>25.017744208974378</v>
      </c>
      <c r="E68" s="100">
        <f>G23</f>
        <v>0.64749283800309165</v>
      </c>
      <c r="F68" s="97">
        <f>G24</f>
        <v>0.39513115745304717</v>
      </c>
      <c r="G68" s="100">
        <f>G25</f>
        <v>25.011335306082472</v>
      </c>
      <c r="H68" s="100">
        <f>G23</f>
        <v>0.64749283800309165</v>
      </c>
      <c r="I68" s="97">
        <f>G24</f>
        <v>0.39513115745304717</v>
      </c>
    </row>
    <row r="69" spans="1:9">
      <c r="A69" s="65">
        <v>26</v>
      </c>
      <c r="B69" s="98">
        <v>17</v>
      </c>
      <c r="C69" s="99">
        <v>51</v>
      </c>
      <c r="D69" s="100">
        <f>C28</f>
        <v>8.4341439203650008</v>
      </c>
      <c r="E69" s="103">
        <f>C29</f>
        <v>0.49528782129273063</v>
      </c>
      <c r="F69" s="104">
        <f>C30</f>
        <v>6.1376715586902199E-2</v>
      </c>
      <c r="G69" s="100">
        <f>C31</f>
        <v>9.1993229648094452</v>
      </c>
      <c r="H69" s="100">
        <f>C32</f>
        <v>0.7651790444444444</v>
      </c>
      <c r="I69" s="97">
        <f>C33</f>
        <v>1.3467391081385274E-3</v>
      </c>
    </row>
    <row r="70" spans="1:9">
      <c r="A70" s="65">
        <v>26</v>
      </c>
      <c r="B70" s="98">
        <v>17</v>
      </c>
      <c r="C70" s="99">
        <v>52</v>
      </c>
      <c r="D70" s="100">
        <f>D28</f>
        <v>134.38833333333332</v>
      </c>
      <c r="E70" s="103">
        <f>D29</f>
        <v>-2.9137931034482829</v>
      </c>
      <c r="F70" s="104">
        <f>D30</f>
        <v>0.72965593022046682</v>
      </c>
      <c r="G70" s="100">
        <f>D31</f>
        <v>133.69301224386189</v>
      </c>
      <c r="H70" s="100">
        <f>D32</f>
        <v>-0.51739691402138122</v>
      </c>
      <c r="I70" s="97">
        <f>D33</f>
        <v>0.93277116197822518</v>
      </c>
    </row>
    <row r="71" spans="1:9">
      <c r="A71" s="65">
        <v>26</v>
      </c>
      <c r="B71" s="98">
        <v>17</v>
      </c>
      <c r="C71" s="99">
        <v>54</v>
      </c>
      <c r="D71" s="100">
        <f>E28</f>
        <v>97.187064940790023</v>
      </c>
      <c r="E71" s="103">
        <f>E29</f>
        <v>-0.6132501235474096</v>
      </c>
      <c r="F71" s="104">
        <f>E30</f>
        <v>0.28835046060631098</v>
      </c>
      <c r="G71" s="100">
        <f>E31</f>
        <v>93.717193255473916</v>
      </c>
      <c r="H71" s="100">
        <f>E32</f>
        <v>-3.4698716853161073</v>
      </c>
      <c r="I71" s="97">
        <f>E33</f>
        <v>4.5885004761232811E-3</v>
      </c>
    </row>
    <row r="72" spans="1:9">
      <c r="A72" s="65">
        <v>26</v>
      </c>
      <c r="B72" s="98">
        <v>17</v>
      </c>
      <c r="C72" s="101">
        <v>55</v>
      </c>
      <c r="D72" s="105">
        <f>F28</f>
        <v>98.087088513736944</v>
      </c>
      <c r="E72" s="106">
        <f>F29</f>
        <v>-0.6132501235474096</v>
      </c>
      <c r="F72" s="107">
        <f>F30</f>
        <v>0.28835046060631098</v>
      </c>
      <c r="G72" s="100">
        <f>F31</f>
        <v>97.644881427473166</v>
      </c>
      <c r="H72" s="100">
        <f>F32</f>
        <v>-0.45083108588939885</v>
      </c>
      <c r="I72" s="97">
        <f>F33</f>
        <v>0.27809400692982134</v>
      </c>
    </row>
    <row r="73" spans="1:9">
      <c r="A73" s="65">
        <v>26</v>
      </c>
      <c r="B73" s="98">
        <v>17</v>
      </c>
      <c r="C73" s="101">
        <v>56</v>
      </c>
      <c r="D73" s="108">
        <f>G28</f>
        <v>34.324867568583187</v>
      </c>
      <c r="E73" s="100">
        <f>G29</f>
        <v>-0.25301183386999865</v>
      </c>
      <c r="F73" s="97">
        <f>G30</f>
        <v>0.52155224166553826</v>
      </c>
      <c r="G73" s="100">
        <f>G31</f>
        <v>32.933098250173558</v>
      </c>
      <c r="H73" s="100">
        <f>G32</f>
        <v>-1.3917693184096294</v>
      </c>
      <c r="I73" s="97">
        <f>G33</f>
        <v>3.2018285979110855E-3</v>
      </c>
    </row>
    <row r="74" spans="1:9">
      <c r="A74" s="65">
        <v>26</v>
      </c>
      <c r="B74" s="98">
        <v>18</v>
      </c>
      <c r="C74" s="99">
        <v>51</v>
      </c>
      <c r="D74" s="100">
        <f>C34</f>
        <v>17.797153881242252</v>
      </c>
      <c r="E74" s="103">
        <f>C35</f>
        <v>0.61476264797525781</v>
      </c>
      <c r="F74" s="104">
        <f>C36</f>
        <v>2.885024900525408E-2</v>
      </c>
      <c r="G74" s="100">
        <f>C37</f>
        <v>18.84679398124225</v>
      </c>
      <c r="H74" s="100">
        <f>C38</f>
        <v>1.0496400999999977</v>
      </c>
      <c r="I74" s="97">
        <f>C39</f>
        <v>6.0923805808204439E-4</v>
      </c>
    </row>
    <row r="75" spans="1:9">
      <c r="A75" s="65">
        <v>26</v>
      </c>
      <c r="B75" s="98">
        <v>18</v>
      </c>
      <c r="C75" s="99">
        <v>52</v>
      </c>
      <c r="D75" s="100">
        <f>D34</f>
        <v>90.565000000000012</v>
      </c>
      <c r="E75" s="103">
        <f>D35</f>
        <v>-9.2616611049313864</v>
      </c>
      <c r="F75" s="104">
        <f>D36</f>
        <v>0.24273032029191188</v>
      </c>
      <c r="G75" s="100">
        <f>D37</f>
        <v>96.956997676178005</v>
      </c>
      <c r="H75" s="100">
        <f>D38</f>
        <v>7.0579116393507393</v>
      </c>
      <c r="I75" s="97">
        <f>D39</f>
        <v>0.41784600124907001</v>
      </c>
    </row>
    <row r="76" spans="1:9">
      <c r="A76" s="65">
        <v>26</v>
      </c>
      <c r="B76" s="98">
        <v>18</v>
      </c>
      <c r="C76" s="99">
        <v>54</v>
      </c>
      <c r="D76" s="100">
        <f>E34</f>
        <v>95.76429584587612</v>
      </c>
      <c r="E76" s="103">
        <f>E35</f>
        <v>3.5712817722640717</v>
      </c>
      <c r="F76" s="104">
        <f>E36</f>
        <v>0.32684642380039042</v>
      </c>
      <c r="G76" s="100">
        <f>E37</f>
        <v>94.784362235101213</v>
      </c>
      <c r="H76" s="100">
        <f>E38</f>
        <v>-0.97993361077490704</v>
      </c>
      <c r="I76" s="97">
        <f>E39</f>
        <v>8.215896655761476E-2</v>
      </c>
    </row>
    <row r="77" spans="1:9">
      <c r="A77" s="65">
        <v>26</v>
      </c>
      <c r="B77" s="98">
        <v>18</v>
      </c>
      <c r="C77" s="101">
        <v>55</v>
      </c>
      <c r="D77" s="105">
        <f>F34</f>
        <v>74.3723300325113</v>
      </c>
      <c r="E77" s="106">
        <f>F35</f>
        <v>3.5712817722640717</v>
      </c>
      <c r="F77" s="107">
        <f>F36</f>
        <v>0.32684642380039042</v>
      </c>
      <c r="G77" s="100">
        <f>F37</f>
        <v>71.542130655373711</v>
      </c>
      <c r="H77" s="100">
        <f>F38</f>
        <v>-3.8054466975828136</v>
      </c>
      <c r="I77" s="97">
        <f>F39</f>
        <v>0.43532581903113665</v>
      </c>
    </row>
    <row r="78" spans="1:9">
      <c r="A78" s="65">
        <v>26</v>
      </c>
      <c r="B78" s="98">
        <v>18</v>
      </c>
      <c r="C78" s="101">
        <v>56</v>
      </c>
      <c r="D78" s="108">
        <f>G34</f>
        <v>6.393141137586392</v>
      </c>
      <c r="E78" s="100">
        <f>G35</f>
        <v>0.1670157280521132</v>
      </c>
      <c r="F78" s="97">
        <f>G36</f>
        <v>0.59854561486567537</v>
      </c>
      <c r="G78" s="100">
        <f>G37</f>
        <v>6.0679239250842736</v>
      </c>
      <c r="H78" s="100">
        <f>G38</f>
        <v>-0.32521721250211844</v>
      </c>
      <c r="I78" s="97">
        <f>G39</f>
        <v>0.31499978206737089</v>
      </c>
    </row>
    <row r="79" spans="1:9">
      <c r="A79" s="65">
        <v>26</v>
      </c>
      <c r="B79" s="98">
        <v>19</v>
      </c>
      <c r="C79" s="99">
        <v>51</v>
      </c>
      <c r="D79" s="100">
        <f>C40</f>
        <v>19.698861299418684</v>
      </c>
      <c r="E79" s="103">
        <f>C41</f>
        <v>1.1744186573211455</v>
      </c>
      <c r="F79" s="104">
        <f>C42</f>
        <v>1.3997449535017625E-4</v>
      </c>
      <c r="G79" s="100">
        <f>C43</f>
        <v>20.398086332752015</v>
      </c>
      <c r="H79" s="100">
        <f>C44</f>
        <v>0.69922503333333097</v>
      </c>
      <c r="I79" s="97">
        <f>C45</f>
        <v>5.1842944548735656E-2</v>
      </c>
    </row>
    <row r="80" spans="1:9">
      <c r="A80" s="65">
        <v>26</v>
      </c>
      <c r="B80" s="98">
        <v>19</v>
      </c>
      <c r="C80" s="99">
        <v>52</v>
      </c>
      <c r="D80" s="100">
        <f>D40</f>
        <v>89.202777777777811</v>
      </c>
      <c r="E80" s="100">
        <f>D41</f>
        <v>0.77660363366707208</v>
      </c>
      <c r="F80" s="104">
        <f>D42</f>
        <v>0.93623650472012188</v>
      </c>
      <c r="G80" s="100">
        <f>D43</f>
        <v>87.709714497306891</v>
      </c>
      <c r="H80" s="100">
        <f>D44</f>
        <v>-1.6737856350061668</v>
      </c>
      <c r="I80" s="97">
        <f>D45</f>
        <v>0.88822697440025689</v>
      </c>
    </row>
    <row r="81" spans="1:9">
      <c r="A81" s="65">
        <v>26</v>
      </c>
      <c r="B81" s="98">
        <v>19</v>
      </c>
      <c r="C81" s="99">
        <v>54</v>
      </c>
      <c r="D81" s="100">
        <f>E40</f>
        <v>92.688171082627051</v>
      </c>
      <c r="E81" s="103">
        <f>E41</f>
        <v>-0.21031296186463705</v>
      </c>
      <c r="F81" s="104">
        <f>E42</f>
        <v>0.96320893618769132</v>
      </c>
      <c r="G81" s="100">
        <f>E43</f>
        <v>96.825167810555953</v>
      </c>
      <c r="H81" s="100">
        <f>E44</f>
        <v>4.1369967279289028</v>
      </c>
      <c r="I81" s="97">
        <f>E45</f>
        <v>5.2886356619484869E-2</v>
      </c>
    </row>
    <row r="82" spans="1:9">
      <c r="A82" s="65">
        <v>26</v>
      </c>
      <c r="B82" s="98">
        <v>19</v>
      </c>
      <c r="C82" s="101">
        <v>55</v>
      </c>
      <c r="D82" s="105">
        <f>F40</f>
        <v>69.869671286775798</v>
      </c>
      <c r="E82" s="106">
        <f>F41</f>
        <v>-0.21031296186463705</v>
      </c>
      <c r="F82" s="107">
        <f>F42</f>
        <v>0.96320893618769132</v>
      </c>
      <c r="G82" s="100">
        <f>F43</f>
        <v>70.718530297483426</v>
      </c>
      <c r="H82" s="100">
        <f>F44</f>
        <v>1.21491771046631</v>
      </c>
      <c r="I82" s="97">
        <f>F45</f>
        <v>0.84530591715512493</v>
      </c>
    </row>
    <row r="83" spans="1:9">
      <c r="A83" s="65">
        <v>26</v>
      </c>
      <c r="B83" s="98">
        <v>19</v>
      </c>
      <c r="C83" s="101">
        <v>56</v>
      </c>
      <c r="D83" s="108">
        <f>G40</f>
        <v>4.5512732765683444</v>
      </c>
      <c r="E83" s="106">
        <f>G41</f>
        <v>0.2182764487179078</v>
      </c>
      <c r="F83" s="109">
        <f>G42</f>
        <v>0.48790722178758916</v>
      </c>
      <c r="G83" s="100">
        <f>G43</f>
        <v>4.821226645017</v>
      </c>
      <c r="H83" s="100">
        <f>G44</f>
        <v>0.2699533684486557</v>
      </c>
      <c r="I83" s="97">
        <f>G45</f>
        <v>0.40990392961046251</v>
      </c>
    </row>
  </sheetData>
  <mergeCells count="9">
    <mergeCell ref="A40:A45"/>
    <mergeCell ref="A22:A27"/>
    <mergeCell ref="A28:A33"/>
    <mergeCell ref="A34:A39"/>
    <mergeCell ref="B2:B3"/>
    <mergeCell ref="A2:A3"/>
    <mergeCell ref="A4:A9"/>
    <mergeCell ref="A10:A15"/>
    <mergeCell ref="A16:A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O83"/>
  <sheetViews>
    <sheetView topLeftCell="A36"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1" width="9.28515625" style="27" bestFit="1" customWidth="1"/>
    <col min="12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18.538181003703865</v>
      </c>
      <c r="D4" s="31">
        <v>156.00388888888889</v>
      </c>
      <c r="E4" s="30">
        <v>97.075462228814942</v>
      </c>
      <c r="F4" s="30">
        <v>97.411166394928173</v>
      </c>
      <c r="G4" s="130">
        <v>6.6201488811667586</v>
      </c>
    </row>
    <row r="5" spans="1:8" ht="18.75">
      <c r="A5" s="178"/>
      <c r="B5" s="21" t="s">
        <v>17</v>
      </c>
      <c r="C5" s="131">
        <v>0.78250565102262704</v>
      </c>
      <c r="D5" s="33">
        <v>32.133592880978853</v>
      </c>
      <c r="E5" s="34">
        <v>-2.0140101046679675</v>
      </c>
      <c r="F5" s="34">
        <v>-2.0140101046679675</v>
      </c>
      <c r="G5" s="132">
        <v>-0.28793234931824369</v>
      </c>
    </row>
    <row r="6" spans="1:8">
      <c r="A6" s="178"/>
      <c r="B6" s="22" t="s">
        <v>18</v>
      </c>
      <c r="C6" s="133">
        <v>8.2233767330333585E-4</v>
      </c>
      <c r="D6" s="69">
        <v>1.9998066127300262E-3</v>
      </c>
      <c r="E6" s="37">
        <v>3.7481455293114675E-2</v>
      </c>
      <c r="F6" s="37">
        <v>3.7481455293114675E-2</v>
      </c>
      <c r="G6" s="134">
        <v>1.0337522755878149E-3</v>
      </c>
    </row>
    <row r="7" spans="1:8" ht="18.75">
      <c r="A7" s="178"/>
      <c r="B7" s="23" t="s">
        <v>19</v>
      </c>
      <c r="C7" s="78">
        <v>19.28267932037053</v>
      </c>
      <c r="D7" s="38">
        <v>172.34297449679156</v>
      </c>
      <c r="E7" s="112">
        <v>99.814405343379462</v>
      </c>
      <c r="F7" s="10">
        <v>94.723179460456109</v>
      </c>
      <c r="G7" s="113">
        <v>6.6200617499375811</v>
      </c>
    </row>
    <row r="8" spans="1:8" ht="18.75">
      <c r="A8" s="178"/>
      <c r="B8" s="21" t="s">
        <v>20</v>
      </c>
      <c r="C8" s="135">
        <v>0.74449831666666455</v>
      </c>
      <c r="D8" s="40">
        <v>10.47351173376191</v>
      </c>
      <c r="E8" s="136">
        <v>2.7389431145645204</v>
      </c>
      <c r="F8" s="10">
        <v>-2.7594238257802228</v>
      </c>
      <c r="G8" s="137">
        <v>-8.7131229177472846E-5</v>
      </c>
    </row>
    <row r="9" spans="1:8" ht="16.5" thickBot="1">
      <c r="A9" s="179"/>
      <c r="B9" s="25" t="s">
        <v>21</v>
      </c>
      <c r="C9" s="146">
        <v>4.638993888369124E-3</v>
      </c>
      <c r="D9" s="139">
        <v>0.20468009617659666</v>
      </c>
      <c r="E9" s="147">
        <v>1.3017008311774263E-2</v>
      </c>
      <c r="F9" s="47">
        <v>0.13576695392557159</v>
      </c>
      <c r="G9" s="141">
        <v>0.99951181548654477</v>
      </c>
    </row>
    <row r="10" spans="1:8" ht="18.75">
      <c r="A10" s="180" t="s">
        <v>2</v>
      </c>
      <c r="B10" s="20" t="s">
        <v>16</v>
      </c>
      <c r="C10" s="129">
        <v>10.576690861368867</v>
      </c>
      <c r="D10" s="31">
        <v>100.31666666666666</v>
      </c>
      <c r="E10" s="30">
        <v>93.527072516230334</v>
      </c>
      <c r="F10" s="30">
        <v>89.851768873148913</v>
      </c>
      <c r="G10" s="130">
        <v>5.8764771688591253</v>
      </c>
    </row>
    <row r="11" spans="1:8" ht="18.75">
      <c r="A11" s="178"/>
      <c r="B11" s="21" t="s">
        <v>17</v>
      </c>
      <c r="C11" s="131">
        <v>2.5023683869485457E-2</v>
      </c>
      <c r="D11" s="33">
        <v>5.5871709306636888</v>
      </c>
      <c r="E11" s="34">
        <v>0.18822579268562972</v>
      </c>
      <c r="F11" s="34">
        <v>0.18822579268562972</v>
      </c>
      <c r="G11" s="132">
        <v>6.6621499255164526E-3</v>
      </c>
    </row>
    <row r="12" spans="1:8">
      <c r="A12" s="178"/>
      <c r="B12" s="22" t="s">
        <v>18</v>
      </c>
      <c r="C12" s="133">
        <v>0.9068001952162914</v>
      </c>
      <c r="D12" s="69">
        <v>0.53869539499282837</v>
      </c>
      <c r="E12" s="37">
        <v>0.92464272699570116</v>
      </c>
      <c r="F12" s="37">
        <v>0.92464272699570116</v>
      </c>
      <c r="G12" s="134">
        <v>0.96080364002368179</v>
      </c>
    </row>
    <row r="13" spans="1:8" ht="18.75">
      <c r="A13" s="178"/>
      <c r="B13" s="23" t="s">
        <v>19</v>
      </c>
      <c r="C13" s="78">
        <v>11.917163428035529</v>
      </c>
      <c r="D13" s="38">
        <v>109.32180377519539</v>
      </c>
      <c r="E13" s="112">
        <v>98.501330447644548</v>
      </c>
      <c r="F13" s="10">
        <v>89.973498324761323</v>
      </c>
      <c r="G13" s="113">
        <v>6.2119650169964356</v>
      </c>
    </row>
    <row r="14" spans="1:8" ht="18.75">
      <c r="A14" s="178"/>
      <c r="B14" s="21" t="s">
        <v>20</v>
      </c>
      <c r="C14" s="135">
        <v>1.3404725666666621</v>
      </c>
      <c r="D14" s="10">
        <v>8.9767108574800467</v>
      </c>
      <c r="E14" s="11">
        <v>4.9742579314142148</v>
      </c>
      <c r="F14" s="10">
        <v>0.13547808033057696</v>
      </c>
      <c r="G14" s="137">
        <v>0.33548784813731025</v>
      </c>
    </row>
    <row r="15" spans="1:8" ht="16.5" thickBot="1">
      <c r="A15" s="181"/>
      <c r="B15" s="26" t="s">
        <v>21</v>
      </c>
      <c r="C15" s="149">
        <v>1.5019517537048971E-5</v>
      </c>
      <c r="D15" s="48">
        <v>0.2799375611127215</v>
      </c>
      <c r="E15" s="121">
        <v>4.337302862007716E-5</v>
      </c>
      <c r="F15" s="43">
        <v>0.93267003270206961</v>
      </c>
      <c r="G15" s="143">
        <v>1.5685435034623812E-2</v>
      </c>
    </row>
    <row r="16" spans="1:8" ht="18.75">
      <c r="A16" s="177" t="s">
        <v>3</v>
      </c>
      <c r="B16" s="24" t="s">
        <v>16</v>
      </c>
      <c r="C16" s="144">
        <v>2.4430925935630987</v>
      </c>
      <c r="D16" s="45">
        <v>42.374444444444443</v>
      </c>
      <c r="E16" s="44">
        <v>89.259469569598906</v>
      </c>
      <c r="F16" s="44">
        <v>74.409142993742776</v>
      </c>
      <c r="G16" s="145">
        <v>3.3201492380429096</v>
      </c>
    </row>
    <row r="17" spans="1:7" ht="18.75">
      <c r="A17" s="178"/>
      <c r="B17" s="21" t="s">
        <v>17</v>
      </c>
      <c r="C17" s="131">
        <v>0.93059819711116942</v>
      </c>
      <c r="D17" s="33">
        <v>0.84189840563589857</v>
      </c>
      <c r="E17" s="34">
        <v>3.1005704958554441</v>
      </c>
      <c r="F17" s="34">
        <v>3.1005704958554441</v>
      </c>
      <c r="G17" s="132">
        <v>0.17064628584629704</v>
      </c>
    </row>
    <row r="18" spans="1:7">
      <c r="A18" s="178"/>
      <c r="B18" s="22" t="s">
        <v>18</v>
      </c>
      <c r="C18" s="133">
        <v>7.9944401253164529E-2</v>
      </c>
      <c r="D18" s="69">
        <v>0.82103711366653442</v>
      </c>
      <c r="E18" s="37">
        <v>0.29411458040611715</v>
      </c>
      <c r="F18" s="37">
        <v>0.29411458040611715</v>
      </c>
      <c r="G18" s="134">
        <v>0.26490674527847857</v>
      </c>
    </row>
    <row r="19" spans="1:7" ht="18.75">
      <c r="A19" s="178"/>
      <c r="B19" s="23" t="s">
        <v>19</v>
      </c>
      <c r="C19" s="78">
        <v>3.6917084935630995</v>
      </c>
      <c r="D19" s="38">
        <v>43.100816255473667</v>
      </c>
      <c r="E19" s="112">
        <v>92.055390380044045</v>
      </c>
      <c r="F19" s="10">
        <v>74.814800161815612</v>
      </c>
      <c r="G19" s="113">
        <v>3.4749209482142041</v>
      </c>
    </row>
    <row r="20" spans="1:7" ht="18.75">
      <c r="A20" s="178"/>
      <c r="B20" s="21" t="s">
        <v>20</v>
      </c>
      <c r="C20" s="135">
        <v>1.2486159000000008</v>
      </c>
      <c r="D20" s="10">
        <v>1.7141742400458932</v>
      </c>
      <c r="E20" s="11">
        <v>2.7959208104451392</v>
      </c>
      <c r="F20" s="10">
        <v>0.5451711332126824</v>
      </c>
      <c r="G20" s="137">
        <v>0.15477171017129443</v>
      </c>
    </row>
    <row r="21" spans="1:7" ht="16.5" thickBot="1">
      <c r="A21" s="179"/>
      <c r="B21" s="25" t="s">
        <v>21</v>
      </c>
      <c r="C21" s="146">
        <v>1.4356595411300709E-2</v>
      </c>
      <c r="D21" s="46">
        <v>0.83404116984325827</v>
      </c>
      <c r="E21" s="89">
        <v>0.15746540045641266</v>
      </c>
      <c r="F21" s="47">
        <v>0.82286496333502634</v>
      </c>
      <c r="G21" s="141">
        <v>0.25351083654042716</v>
      </c>
    </row>
    <row r="22" spans="1:7" ht="18.75">
      <c r="A22" s="180" t="s">
        <v>4</v>
      </c>
      <c r="B22" s="20" t="s">
        <v>16</v>
      </c>
      <c r="C22" s="129">
        <v>-2.2976190233270715</v>
      </c>
      <c r="D22" s="31">
        <v>108.545</v>
      </c>
      <c r="E22" s="30">
        <v>91.999192160837211</v>
      </c>
      <c r="F22" s="30">
        <v>96.495306207394918</v>
      </c>
      <c r="G22" s="130">
        <v>25.767533160918639</v>
      </c>
    </row>
    <row r="23" spans="1:7" ht="18.75">
      <c r="A23" s="178"/>
      <c r="B23" s="21" t="s">
        <v>17</v>
      </c>
      <c r="C23" s="131">
        <v>0.32570422230655255</v>
      </c>
      <c r="D23" s="68">
        <v>6.3392287727104222</v>
      </c>
      <c r="E23" s="34">
        <v>0.52994172863327893</v>
      </c>
      <c r="F23" s="34">
        <v>0.52994172863327893</v>
      </c>
      <c r="G23" s="132">
        <v>0.61952507756872077</v>
      </c>
    </row>
    <row r="24" spans="1:7">
      <c r="A24" s="178"/>
      <c r="B24" s="22" t="s">
        <v>18</v>
      </c>
      <c r="C24" s="133">
        <v>0.53719449378844919</v>
      </c>
      <c r="D24" s="69">
        <v>0.28206294775009155</v>
      </c>
      <c r="E24" s="37">
        <v>0.37807068108622233</v>
      </c>
      <c r="F24" s="37">
        <v>0.37807068108622233</v>
      </c>
      <c r="G24" s="134">
        <v>0.41097485859962213</v>
      </c>
    </row>
    <row r="25" spans="1:7" ht="18.75">
      <c r="A25" s="178"/>
      <c r="B25" s="23" t="s">
        <v>19</v>
      </c>
      <c r="C25" s="78">
        <v>-1.0460455122159606</v>
      </c>
      <c r="D25" s="38">
        <v>120.49794988727578</v>
      </c>
      <c r="E25" s="112">
        <v>90.391364881648727</v>
      </c>
      <c r="F25" s="10">
        <v>95.789593001340052</v>
      </c>
      <c r="G25" s="113">
        <v>25.117578948919714</v>
      </c>
    </row>
    <row r="26" spans="1:7" ht="18.75">
      <c r="A26" s="178"/>
      <c r="B26" s="21" t="s">
        <v>20</v>
      </c>
      <c r="C26" s="135">
        <v>1.2515735111111108</v>
      </c>
      <c r="D26" s="10">
        <v>11.011976495716786</v>
      </c>
      <c r="E26" s="11">
        <v>-1.6078272791884842</v>
      </c>
      <c r="F26" s="10">
        <v>-0.73134459466670587</v>
      </c>
      <c r="G26" s="115">
        <v>-0.64995421199892434</v>
      </c>
    </row>
    <row r="27" spans="1:7" ht="16.5" thickBot="1">
      <c r="A27" s="181"/>
      <c r="B27" s="26" t="s">
        <v>21</v>
      </c>
      <c r="C27" s="149">
        <v>9.8970448211289606E-3</v>
      </c>
      <c r="D27" s="48">
        <v>6.4112539214743747E-2</v>
      </c>
      <c r="E27" s="121">
        <v>0.34193101012212379</v>
      </c>
      <c r="F27" s="43">
        <v>7.6423071275328672E-2</v>
      </c>
      <c r="G27" s="122">
        <v>0.21622619493438622</v>
      </c>
    </row>
    <row r="28" spans="1:7" ht="18.75">
      <c r="A28" s="177" t="s">
        <v>5</v>
      </c>
      <c r="B28" s="24" t="s">
        <v>16</v>
      </c>
      <c r="C28" s="144">
        <v>8.1652070910008892</v>
      </c>
      <c r="D28" s="45">
        <v>141.01555555555555</v>
      </c>
      <c r="E28" s="44">
        <v>97.974706622383238</v>
      </c>
      <c r="F28" s="44">
        <v>98.820148151409029</v>
      </c>
      <c r="G28" s="145">
        <v>34.851786783467986</v>
      </c>
    </row>
    <row r="29" spans="1:7" ht="18.75">
      <c r="A29" s="178"/>
      <c r="B29" s="21" t="s">
        <v>17</v>
      </c>
      <c r="C29" s="131">
        <v>0.35191357254305877</v>
      </c>
      <c r="D29" s="68">
        <v>16.889284390063029</v>
      </c>
      <c r="E29" s="34">
        <v>0.6778758289279867</v>
      </c>
      <c r="F29" s="34">
        <v>0.6778758289279867</v>
      </c>
      <c r="G29" s="132">
        <v>0.21216646229340716</v>
      </c>
    </row>
    <row r="30" spans="1:7">
      <c r="A30" s="178"/>
      <c r="B30" s="22" t="s">
        <v>18</v>
      </c>
      <c r="C30" s="133">
        <v>0.15083063574945244</v>
      </c>
      <c r="D30" s="69">
        <v>1.056022010743618E-2</v>
      </c>
      <c r="E30" s="49">
        <v>3.7609938339271162E-2</v>
      </c>
      <c r="F30" s="49">
        <v>3.7609938339271162E-2</v>
      </c>
      <c r="G30" s="134">
        <v>0.37044326411638884</v>
      </c>
    </row>
    <row r="31" spans="1:7" ht="18.75">
      <c r="A31" s="178"/>
      <c r="B31" s="23" t="s">
        <v>19</v>
      </c>
      <c r="C31" s="78">
        <v>8.8401874576675574</v>
      </c>
      <c r="D31" s="38">
        <v>147.12935661895165</v>
      </c>
      <c r="E31" s="112">
        <v>95.152884168318465</v>
      </c>
      <c r="F31" s="10">
        <v>98.203520452848252</v>
      </c>
      <c r="G31" s="113">
        <v>33.626665810217432</v>
      </c>
    </row>
    <row r="32" spans="1:7" ht="18.75">
      <c r="A32" s="178"/>
      <c r="B32" s="21" t="s">
        <v>20</v>
      </c>
      <c r="C32" s="135">
        <v>0.67498036666666827</v>
      </c>
      <c r="D32" s="10">
        <v>4.3355508116177059</v>
      </c>
      <c r="E32" s="11">
        <v>-2.8218224540647725</v>
      </c>
      <c r="F32" s="10">
        <v>-0.62398985439285692</v>
      </c>
      <c r="G32" s="115">
        <v>-1.2251209732505544</v>
      </c>
    </row>
    <row r="33" spans="1:15" ht="16.5" thickBot="1">
      <c r="A33" s="179"/>
      <c r="B33" s="25" t="s">
        <v>21</v>
      </c>
      <c r="C33" s="146">
        <v>9.5014627921416964E-3</v>
      </c>
      <c r="D33" s="46">
        <v>0.51014614590189211</v>
      </c>
      <c r="E33" s="117">
        <v>1.7269576157177533E-2</v>
      </c>
      <c r="F33" s="47">
        <v>0.36596759035990367</v>
      </c>
      <c r="G33" s="118">
        <v>6.8140533299074109E-3</v>
      </c>
    </row>
    <row r="34" spans="1:15" ht="18.75">
      <c r="A34" s="177" t="s">
        <v>6</v>
      </c>
      <c r="B34" s="24" t="s">
        <v>16</v>
      </c>
      <c r="C34" s="129">
        <v>16.961296295943093</v>
      </c>
      <c r="D34" s="31">
        <v>79.156111111111159</v>
      </c>
      <c r="E34" s="30">
        <v>97.791780019907804</v>
      </c>
      <c r="F34" s="30">
        <v>79.8305594198861</v>
      </c>
      <c r="G34" s="130">
        <v>7.0331305713874821</v>
      </c>
    </row>
    <row r="35" spans="1:15" ht="18.75">
      <c r="A35" s="178"/>
      <c r="B35" s="21" t="s">
        <v>17</v>
      </c>
      <c r="C35" s="131">
        <v>0.57093066344110399</v>
      </c>
      <c r="D35" s="33">
        <v>-3.0326659251019521</v>
      </c>
      <c r="E35" s="34">
        <v>1.3710833935570774</v>
      </c>
      <c r="F35" s="34">
        <v>1.3710833935570774</v>
      </c>
      <c r="G35" s="132">
        <v>9.3161825700452838E-2</v>
      </c>
    </row>
    <row r="36" spans="1:15">
      <c r="A36" s="178"/>
      <c r="B36" s="22" t="s">
        <v>18</v>
      </c>
      <c r="C36" s="133">
        <v>2.7669955226584133E-2</v>
      </c>
      <c r="D36" s="69">
        <v>0.63954788446426392</v>
      </c>
      <c r="E36" s="37">
        <v>0.63252441121829284</v>
      </c>
      <c r="F36" s="37">
        <v>0.63252441121829284</v>
      </c>
      <c r="G36" s="134">
        <v>0.73086655342462437</v>
      </c>
    </row>
    <row r="37" spans="1:15" ht="18.75">
      <c r="A37" s="178"/>
      <c r="B37" s="23" t="s">
        <v>19</v>
      </c>
      <c r="C37" s="78">
        <v>17.978282362609761</v>
      </c>
      <c r="D37" s="38">
        <v>86.16121767287413</v>
      </c>
      <c r="E37" s="112">
        <v>98.534637008013618</v>
      </c>
      <c r="F37" s="10">
        <v>74.714726681304896</v>
      </c>
      <c r="G37" s="113">
        <v>6.6654326359101059</v>
      </c>
    </row>
    <row r="38" spans="1:15" ht="18.75">
      <c r="A38" s="178"/>
      <c r="B38" s="21" t="s">
        <v>20</v>
      </c>
      <c r="C38" s="135">
        <v>1.0169860666666661</v>
      </c>
      <c r="D38" s="10">
        <v>8.8497356217133163</v>
      </c>
      <c r="E38" s="11">
        <v>0.7428569881058138</v>
      </c>
      <c r="F38" s="10">
        <v>-6.408363884403431</v>
      </c>
      <c r="G38" s="115">
        <v>-0.36769793547737617</v>
      </c>
    </row>
    <row r="39" spans="1:15" ht="16.5" thickBot="1">
      <c r="A39" s="179"/>
      <c r="B39" s="25" t="s">
        <v>21</v>
      </c>
      <c r="C39" s="149">
        <v>5.4285406468209654E-4</v>
      </c>
      <c r="D39" s="48">
        <v>0.27952316117185927</v>
      </c>
      <c r="E39" s="121">
        <v>0.18281715636899643</v>
      </c>
      <c r="F39" s="43">
        <v>0.2327204592343729</v>
      </c>
      <c r="G39" s="122">
        <v>0.28377702918152303</v>
      </c>
    </row>
    <row r="40" spans="1:15" ht="18.75">
      <c r="A40" s="180" t="s">
        <v>7</v>
      </c>
      <c r="B40" s="20" t="s">
        <v>16</v>
      </c>
      <c r="C40" s="144">
        <v>18.972419356308528</v>
      </c>
      <c r="D40" s="45">
        <v>93.03055555555558</v>
      </c>
      <c r="E40" s="44">
        <v>89.395051094345845</v>
      </c>
      <c r="F40" s="44">
        <v>68.281342808387436</v>
      </c>
      <c r="G40" s="145">
        <v>4.299437674376005</v>
      </c>
    </row>
    <row r="41" spans="1:15" ht="18.75">
      <c r="A41" s="178"/>
      <c r="B41" s="21" t="s">
        <v>17</v>
      </c>
      <c r="C41" s="131">
        <v>0.98184960803184118</v>
      </c>
      <c r="D41" s="33">
        <v>14.131813125695217</v>
      </c>
      <c r="E41" s="34">
        <v>-6.7983456522719932</v>
      </c>
      <c r="F41" s="34">
        <v>-6.7983456522719932</v>
      </c>
      <c r="G41" s="132">
        <v>-0.18084012237158262</v>
      </c>
    </row>
    <row r="42" spans="1:15">
      <c r="A42" s="178"/>
      <c r="B42" s="22" t="s">
        <v>18</v>
      </c>
      <c r="C42" s="133">
        <v>2.2664265686489003E-3</v>
      </c>
      <c r="D42" s="69">
        <v>8.5541136562824249E-2</v>
      </c>
      <c r="E42" s="49">
        <v>7.3055191632261707E-2</v>
      </c>
      <c r="F42" s="49">
        <v>7.3055191632261707E-2</v>
      </c>
      <c r="G42" s="134">
        <v>0.51767714275258092</v>
      </c>
    </row>
    <row r="43" spans="1:15" ht="18.75">
      <c r="A43" s="178"/>
      <c r="B43" s="23" t="s">
        <v>19</v>
      </c>
      <c r="C43" s="78">
        <v>19.344603556308527</v>
      </c>
      <c r="D43" s="38">
        <v>118.08638295154033</v>
      </c>
      <c r="E43" s="112">
        <v>92.319363763784011</v>
      </c>
      <c r="F43" s="10">
        <v>56.873284638817786</v>
      </c>
      <c r="G43" s="113">
        <v>3.7563164804911855</v>
      </c>
    </row>
    <row r="44" spans="1:15" ht="18.75">
      <c r="A44" s="178"/>
      <c r="B44" s="21" t="s">
        <v>20</v>
      </c>
      <c r="C44" s="135">
        <v>0.37218419999999952</v>
      </c>
      <c r="D44" s="10">
        <v>26.932900966093896</v>
      </c>
      <c r="E44" s="11">
        <v>2.9243126694381658</v>
      </c>
      <c r="F44" s="10">
        <v>-16.707430903318912</v>
      </c>
      <c r="G44" s="137">
        <v>-0.5431211938848195</v>
      </c>
    </row>
    <row r="45" spans="1:15" ht="16.5" thickBot="1">
      <c r="A45" s="179"/>
      <c r="B45" s="25" t="s">
        <v>21</v>
      </c>
      <c r="C45" s="149">
        <v>0.21507621258029475</v>
      </c>
      <c r="D45" s="48">
        <v>2.4200503380952535E-2</v>
      </c>
      <c r="E45" s="121">
        <v>0.17329436057121694</v>
      </c>
      <c r="F45" s="43">
        <v>2.0591641169318983E-2</v>
      </c>
      <c r="G45" s="143">
        <v>8.3769540555787878E-2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18.538181003703865</v>
      </c>
      <c r="E49" s="100">
        <f>C5</f>
        <v>0.78250565102262704</v>
      </c>
      <c r="F49" s="97">
        <f>C6</f>
        <v>8.2233767330333585E-4</v>
      </c>
      <c r="G49" s="100">
        <f>C7</f>
        <v>19.28267932037053</v>
      </c>
      <c r="H49" s="100">
        <f>C8</f>
        <v>0.74449831666666455</v>
      </c>
      <c r="I49" s="97">
        <f>C9</f>
        <v>4.638993888369124E-3</v>
      </c>
    </row>
    <row r="50" spans="1:9">
      <c r="A50" s="65">
        <v>26</v>
      </c>
      <c r="B50" s="98">
        <v>13</v>
      </c>
      <c r="C50" s="99">
        <v>52</v>
      </c>
      <c r="D50" s="100">
        <f>D4</f>
        <v>156.00388888888889</v>
      </c>
      <c r="E50" s="100">
        <f>D5</f>
        <v>32.133592880978853</v>
      </c>
      <c r="F50" s="97">
        <f>D6</f>
        <v>1.9998066127300262E-3</v>
      </c>
      <c r="G50" s="100">
        <f>D7</f>
        <v>172.34297449679156</v>
      </c>
      <c r="H50" s="100">
        <f>D8</f>
        <v>10.47351173376191</v>
      </c>
      <c r="I50" s="97">
        <f>D9</f>
        <v>0.20468009617659666</v>
      </c>
    </row>
    <row r="51" spans="1:9">
      <c r="A51" s="65">
        <v>26</v>
      </c>
      <c r="B51" s="98">
        <v>13</v>
      </c>
      <c r="C51" s="99">
        <v>54</v>
      </c>
      <c r="D51" s="100">
        <f>E4</f>
        <v>97.075462228814942</v>
      </c>
      <c r="E51" s="100">
        <f>E5</f>
        <v>-2.0140101046679675</v>
      </c>
      <c r="F51" s="97">
        <f>E6</f>
        <v>3.7481455293114675E-2</v>
      </c>
      <c r="G51" s="100">
        <f>E7</f>
        <v>99.814405343379462</v>
      </c>
      <c r="H51" s="100">
        <f>E8</f>
        <v>2.7389431145645204</v>
      </c>
      <c r="I51" s="97">
        <f>E9</f>
        <v>1.3017008311774263E-2</v>
      </c>
    </row>
    <row r="52" spans="1:9">
      <c r="A52" s="65">
        <v>26</v>
      </c>
      <c r="B52" s="98">
        <v>13</v>
      </c>
      <c r="C52" s="101">
        <v>55</v>
      </c>
      <c r="D52" s="100">
        <f>F4</f>
        <v>97.411166394928173</v>
      </c>
      <c r="E52" s="100">
        <f>F5</f>
        <v>-2.0140101046679675</v>
      </c>
      <c r="F52" s="97">
        <f>F6</f>
        <v>3.7481455293114675E-2</v>
      </c>
      <c r="G52" s="100">
        <f>F7</f>
        <v>94.723179460456109</v>
      </c>
      <c r="H52" s="100">
        <f>F8</f>
        <v>-2.7594238257802228</v>
      </c>
      <c r="I52" s="97">
        <f>F9</f>
        <v>0.13576695392557159</v>
      </c>
    </row>
    <row r="53" spans="1:9">
      <c r="A53" s="65">
        <v>26</v>
      </c>
      <c r="B53" s="98">
        <v>13</v>
      </c>
      <c r="C53" s="101">
        <v>56</v>
      </c>
      <c r="D53" s="100">
        <f>G4</f>
        <v>6.6201488811667586</v>
      </c>
      <c r="E53" s="100">
        <f>G5</f>
        <v>-0.28793234931824369</v>
      </c>
      <c r="F53" s="97">
        <f>G6</f>
        <v>1.0337522755878149E-3</v>
      </c>
      <c r="G53" s="100">
        <f>G7</f>
        <v>6.6200617499375811</v>
      </c>
      <c r="H53" s="100">
        <f>G8</f>
        <v>-8.7131229177472846E-5</v>
      </c>
      <c r="I53" s="97">
        <f>G9</f>
        <v>0.99951181548654477</v>
      </c>
    </row>
    <row r="54" spans="1:9">
      <c r="A54" s="65">
        <v>26</v>
      </c>
      <c r="B54" s="98">
        <v>14</v>
      </c>
      <c r="C54" s="99">
        <v>51</v>
      </c>
      <c r="D54" s="100">
        <f>C10</f>
        <v>10.576690861368867</v>
      </c>
      <c r="E54" s="100">
        <f>C11</f>
        <v>2.5023683869485457E-2</v>
      </c>
      <c r="F54" s="97">
        <f>C12</f>
        <v>0.9068001952162914</v>
      </c>
      <c r="G54" s="100">
        <f>C13</f>
        <v>11.917163428035529</v>
      </c>
      <c r="H54" s="100">
        <f>C14</f>
        <v>1.3404725666666621</v>
      </c>
      <c r="I54" s="97">
        <f>C15</f>
        <v>1.5019517537048971E-5</v>
      </c>
    </row>
    <row r="55" spans="1:9">
      <c r="A55" s="65">
        <v>26</v>
      </c>
      <c r="B55" s="98">
        <v>14</v>
      </c>
      <c r="C55" s="99">
        <v>52</v>
      </c>
      <c r="D55" s="100">
        <f>D10</f>
        <v>100.31666666666666</v>
      </c>
      <c r="E55" s="100">
        <f>D11</f>
        <v>5.5871709306636888</v>
      </c>
      <c r="F55" s="97">
        <f>D12</f>
        <v>0.53869539499282837</v>
      </c>
      <c r="G55" s="100">
        <f>D13</f>
        <v>109.32180377519539</v>
      </c>
      <c r="H55" s="100">
        <f>D14</f>
        <v>8.9767108574800467</v>
      </c>
      <c r="I55" s="97">
        <f>D15</f>
        <v>0.2799375611127215</v>
      </c>
    </row>
    <row r="56" spans="1:9">
      <c r="A56" s="65">
        <v>26</v>
      </c>
      <c r="B56" s="98">
        <v>14</v>
      </c>
      <c r="C56" s="99">
        <v>54</v>
      </c>
      <c r="D56" s="100">
        <f>E10</f>
        <v>93.527072516230334</v>
      </c>
      <c r="E56" s="100">
        <f>E11</f>
        <v>0.18822579268562972</v>
      </c>
      <c r="F56" s="97">
        <f>E12</f>
        <v>0.92464272699570116</v>
      </c>
      <c r="G56" s="100">
        <f>E13</f>
        <v>98.501330447644548</v>
      </c>
      <c r="H56" s="100">
        <f>E14</f>
        <v>4.9742579314142148</v>
      </c>
      <c r="I56" s="97">
        <f>E15</f>
        <v>4.337302862007716E-5</v>
      </c>
    </row>
    <row r="57" spans="1:9">
      <c r="A57" s="65">
        <v>26</v>
      </c>
      <c r="B57" s="98">
        <v>14</v>
      </c>
      <c r="C57" s="101">
        <v>55</v>
      </c>
      <c r="D57" s="100">
        <f>F10</f>
        <v>89.851768873148913</v>
      </c>
      <c r="E57" s="100">
        <f>F11</f>
        <v>0.18822579268562972</v>
      </c>
      <c r="F57" s="97">
        <f>F12</f>
        <v>0.92464272699570116</v>
      </c>
      <c r="G57" s="100">
        <f>F13</f>
        <v>89.973498324761323</v>
      </c>
      <c r="H57" s="100">
        <f>F14</f>
        <v>0.13547808033057696</v>
      </c>
      <c r="I57" s="97">
        <f>F15</f>
        <v>0.93267003270206961</v>
      </c>
    </row>
    <row r="58" spans="1:9">
      <c r="A58" s="65">
        <v>26</v>
      </c>
      <c r="B58" s="98">
        <v>14</v>
      </c>
      <c r="C58" s="101">
        <v>56</v>
      </c>
      <c r="D58" s="100">
        <f>G10</f>
        <v>5.8764771688591253</v>
      </c>
      <c r="E58" s="100">
        <f>G11</f>
        <v>6.6621499255164526E-3</v>
      </c>
      <c r="F58" s="97">
        <f>G12</f>
        <v>0.96080364002368179</v>
      </c>
      <c r="G58" s="100">
        <f>G13</f>
        <v>6.2119650169964356</v>
      </c>
      <c r="H58" s="100">
        <f>G14</f>
        <v>0.33548784813731025</v>
      </c>
      <c r="I58" s="97">
        <f>G15</f>
        <v>1.5685435034623812E-2</v>
      </c>
    </row>
    <row r="59" spans="1:9">
      <c r="A59" s="65">
        <v>26</v>
      </c>
      <c r="B59" s="98">
        <v>15</v>
      </c>
      <c r="C59" s="99">
        <v>51</v>
      </c>
      <c r="D59" s="100">
        <f>C16</f>
        <v>2.4430925935630987</v>
      </c>
      <c r="E59" s="100">
        <f>C17</f>
        <v>0.93059819711116942</v>
      </c>
      <c r="F59" s="97">
        <f>C18</f>
        <v>7.9944401253164529E-2</v>
      </c>
      <c r="G59" s="100">
        <f>C19</f>
        <v>3.6917084935630995</v>
      </c>
      <c r="H59" s="100">
        <f>C20</f>
        <v>1.2486159000000008</v>
      </c>
      <c r="I59" s="97">
        <f>C21</f>
        <v>1.4356595411300709E-2</v>
      </c>
    </row>
    <row r="60" spans="1:9">
      <c r="A60" s="65">
        <v>26</v>
      </c>
      <c r="B60" s="98">
        <v>15</v>
      </c>
      <c r="C60" s="99">
        <v>52</v>
      </c>
      <c r="D60" s="100">
        <f>D16</f>
        <v>42.374444444444443</v>
      </c>
      <c r="E60" s="100">
        <f>D17</f>
        <v>0.84189840563589857</v>
      </c>
      <c r="F60" s="97">
        <f>D18</f>
        <v>0.82103711366653442</v>
      </c>
      <c r="G60" s="100">
        <f>D19</f>
        <v>43.100816255473667</v>
      </c>
      <c r="H60" s="100">
        <f>D20</f>
        <v>1.7141742400458932</v>
      </c>
      <c r="I60" s="97">
        <f>D21</f>
        <v>0.83404116984325827</v>
      </c>
    </row>
    <row r="61" spans="1:9">
      <c r="A61" s="65">
        <v>26</v>
      </c>
      <c r="B61" s="98">
        <v>15</v>
      </c>
      <c r="C61" s="99">
        <v>54</v>
      </c>
      <c r="D61" s="100">
        <f>E16</f>
        <v>89.259469569598906</v>
      </c>
      <c r="E61" s="100">
        <f>E17</f>
        <v>3.1005704958554441</v>
      </c>
      <c r="F61" s="97">
        <f>E18</f>
        <v>0.29411458040611715</v>
      </c>
      <c r="G61" s="100">
        <f>E19</f>
        <v>92.055390380044045</v>
      </c>
      <c r="H61" s="100">
        <f>E20</f>
        <v>2.7959208104451392</v>
      </c>
      <c r="I61" s="97">
        <f>E21</f>
        <v>0.15746540045641266</v>
      </c>
    </row>
    <row r="62" spans="1:9">
      <c r="A62" s="65">
        <v>26</v>
      </c>
      <c r="B62" s="98">
        <v>15</v>
      </c>
      <c r="C62" s="101">
        <v>55</v>
      </c>
      <c r="D62" s="102">
        <f>F16</f>
        <v>74.409142993742776</v>
      </c>
      <c r="E62" s="100">
        <f>F17</f>
        <v>3.1005704958554441</v>
      </c>
      <c r="F62" s="97">
        <f>F18</f>
        <v>0.29411458040611715</v>
      </c>
      <c r="G62" s="100">
        <f>F19</f>
        <v>74.814800161815612</v>
      </c>
      <c r="H62" s="100">
        <f>F20</f>
        <v>0.5451711332126824</v>
      </c>
      <c r="I62" s="97">
        <f>F21</f>
        <v>0.82286496333502634</v>
      </c>
    </row>
    <row r="63" spans="1:9">
      <c r="A63" s="65">
        <v>26</v>
      </c>
      <c r="B63" s="98">
        <v>15</v>
      </c>
      <c r="C63" s="101">
        <v>56</v>
      </c>
      <c r="D63" s="102">
        <f>G16</f>
        <v>3.3201492380429096</v>
      </c>
      <c r="E63" s="100">
        <f>G17</f>
        <v>0.17064628584629704</v>
      </c>
      <c r="F63" s="97">
        <f>G18</f>
        <v>0.26490674527847857</v>
      </c>
      <c r="G63" s="100">
        <f>G19</f>
        <v>3.4749209482142041</v>
      </c>
      <c r="H63" s="100">
        <f>G20</f>
        <v>0.15477171017129443</v>
      </c>
      <c r="I63" s="97">
        <f>G21</f>
        <v>0.25351083654042716</v>
      </c>
    </row>
    <row r="64" spans="1:9">
      <c r="A64" s="65">
        <v>26</v>
      </c>
      <c r="B64" s="98">
        <v>16</v>
      </c>
      <c r="C64" s="99">
        <v>51</v>
      </c>
      <c r="D64" s="100">
        <f>C22</f>
        <v>-2.2976190233270715</v>
      </c>
      <c r="E64" s="103">
        <f>C23</f>
        <v>0.32570422230655255</v>
      </c>
      <c r="F64" s="104">
        <f>C24</f>
        <v>0.53719449378844919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108.545</v>
      </c>
      <c r="E65" s="103">
        <f>D23</f>
        <v>6.3392287727104222</v>
      </c>
      <c r="F65" s="104">
        <f>D24</f>
        <v>0.28206294775009155</v>
      </c>
      <c r="G65" s="100">
        <f>D25</f>
        <v>120.49794988727578</v>
      </c>
      <c r="H65" s="100">
        <f>D26</f>
        <v>11.011976495716786</v>
      </c>
      <c r="I65" s="97">
        <f>D27</f>
        <v>6.4112539214743747E-2</v>
      </c>
    </row>
    <row r="66" spans="1:9">
      <c r="A66" s="65">
        <v>26</v>
      </c>
      <c r="B66" s="98">
        <v>16</v>
      </c>
      <c r="C66" s="99">
        <v>54</v>
      </c>
      <c r="D66" s="100">
        <f>E22</f>
        <v>91.999192160837211</v>
      </c>
      <c r="E66" s="103">
        <f>E23</f>
        <v>0.52994172863327893</v>
      </c>
      <c r="F66" s="104">
        <f>E24</f>
        <v>0.37807068108622233</v>
      </c>
      <c r="G66" s="100">
        <f>E25</f>
        <v>90.391364881648727</v>
      </c>
      <c r="H66" s="100">
        <f>E26</f>
        <v>-1.6078272791884842</v>
      </c>
      <c r="I66" s="97">
        <f>E27</f>
        <v>0.34193101012212379</v>
      </c>
    </row>
    <row r="67" spans="1:9">
      <c r="A67" s="65">
        <v>26</v>
      </c>
      <c r="B67" s="98">
        <v>16</v>
      </c>
      <c r="C67" s="101">
        <v>55</v>
      </c>
      <c r="D67" s="105">
        <f>F22</f>
        <v>96.495306207394918</v>
      </c>
      <c r="E67" s="106">
        <f>F23</f>
        <v>0.52994172863327893</v>
      </c>
      <c r="F67" s="107">
        <f>F24</f>
        <v>0.37807068108622233</v>
      </c>
      <c r="G67" s="100">
        <f>F25</f>
        <v>95.789593001340052</v>
      </c>
      <c r="H67" s="100">
        <f>F26</f>
        <v>-0.73134459466670587</v>
      </c>
      <c r="I67" s="97">
        <f>F27</f>
        <v>7.6423071275328672E-2</v>
      </c>
    </row>
    <row r="68" spans="1:9">
      <c r="A68" s="65">
        <v>26</v>
      </c>
      <c r="B68" s="98">
        <v>16</v>
      </c>
      <c r="C68" s="101">
        <v>56</v>
      </c>
      <c r="D68" s="108">
        <f>G22</f>
        <v>25.767533160918639</v>
      </c>
      <c r="E68" s="100">
        <f>G23</f>
        <v>0.61952507756872077</v>
      </c>
      <c r="F68" s="97">
        <f>G24</f>
        <v>0.41097485859962213</v>
      </c>
      <c r="G68" s="100">
        <f>G25</f>
        <v>25.117578948919714</v>
      </c>
      <c r="H68" s="100">
        <f>G23</f>
        <v>0.61952507756872077</v>
      </c>
      <c r="I68" s="97">
        <f>G24</f>
        <v>0.41097485859962213</v>
      </c>
    </row>
    <row r="69" spans="1:9">
      <c r="A69" s="65">
        <v>26</v>
      </c>
      <c r="B69" s="98">
        <v>17</v>
      </c>
      <c r="C69" s="99">
        <v>51</v>
      </c>
      <c r="D69" s="100">
        <f>C28</f>
        <v>8.1652070910008892</v>
      </c>
      <c r="E69" s="103">
        <f>C29</f>
        <v>0.35191357254305877</v>
      </c>
      <c r="F69" s="104">
        <f>C30</f>
        <v>0.15083063574945244</v>
      </c>
      <c r="G69" s="100">
        <f>C31</f>
        <v>8.8401874576675574</v>
      </c>
      <c r="H69" s="100">
        <f>C32</f>
        <v>0.67498036666666827</v>
      </c>
      <c r="I69" s="97">
        <f>C33</f>
        <v>9.5014627921416964E-3</v>
      </c>
    </row>
    <row r="70" spans="1:9">
      <c r="A70" s="65">
        <v>26</v>
      </c>
      <c r="B70" s="98">
        <v>17</v>
      </c>
      <c r="C70" s="99">
        <v>52</v>
      </c>
      <c r="D70" s="100">
        <f>D28</f>
        <v>141.01555555555555</v>
      </c>
      <c r="E70" s="103">
        <f>D29</f>
        <v>16.889284390063029</v>
      </c>
      <c r="F70" s="104">
        <f>D30</f>
        <v>1.056022010743618E-2</v>
      </c>
      <c r="G70" s="100">
        <f>D31</f>
        <v>147.12935661895165</v>
      </c>
      <c r="H70" s="100">
        <f>D32</f>
        <v>4.3355508116177059</v>
      </c>
      <c r="I70" s="97">
        <f>D33</f>
        <v>0.51014614590189211</v>
      </c>
    </row>
    <row r="71" spans="1:9">
      <c r="A71" s="65">
        <v>26</v>
      </c>
      <c r="B71" s="98">
        <v>17</v>
      </c>
      <c r="C71" s="99">
        <v>54</v>
      </c>
      <c r="D71" s="100">
        <f>E28</f>
        <v>97.974706622383238</v>
      </c>
      <c r="E71" s="103">
        <f>E29</f>
        <v>0.6778758289279867</v>
      </c>
      <c r="F71" s="104">
        <f>E30</f>
        <v>3.7609938339271162E-2</v>
      </c>
      <c r="G71" s="100">
        <f>E31</f>
        <v>95.152884168318465</v>
      </c>
      <c r="H71" s="100">
        <f>E32</f>
        <v>-2.8218224540647725</v>
      </c>
      <c r="I71" s="97">
        <f>E33</f>
        <v>1.7269576157177533E-2</v>
      </c>
    </row>
    <row r="72" spans="1:9">
      <c r="A72" s="65">
        <v>26</v>
      </c>
      <c r="B72" s="98">
        <v>17</v>
      </c>
      <c r="C72" s="101">
        <v>55</v>
      </c>
      <c r="D72" s="105">
        <f>F28</f>
        <v>98.820148151409029</v>
      </c>
      <c r="E72" s="106">
        <f>F29</f>
        <v>0.6778758289279867</v>
      </c>
      <c r="F72" s="107">
        <f>F30</f>
        <v>3.7609938339271162E-2</v>
      </c>
      <c r="G72" s="100">
        <f>F31</f>
        <v>98.203520452848252</v>
      </c>
      <c r="H72" s="100">
        <f>F32</f>
        <v>-0.62398985439285692</v>
      </c>
      <c r="I72" s="97">
        <f>F33</f>
        <v>0.36596759035990367</v>
      </c>
    </row>
    <row r="73" spans="1:9">
      <c r="A73" s="65">
        <v>26</v>
      </c>
      <c r="B73" s="98">
        <v>17</v>
      </c>
      <c r="C73" s="101">
        <v>56</v>
      </c>
      <c r="D73" s="108">
        <f>G28</f>
        <v>34.851786783467986</v>
      </c>
      <c r="E73" s="100">
        <f>G29</f>
        <v>0.21216646229340716</v>
      </c>
      <c r="F73" s="97">
        <f>G30</f>
        <v>0.37044326411638884</v>
      </c>
      <c r="G73" s="100">
        <f>G31</f>
        <v>33.626665810217432</v>
      </c>
      <c r="H73" s="100">
        <f>G32</f>
        <v>-1.2251209732505544</v>
      </c>
      <c r="I73" s="97">
        <f>G33</f>
        <v>6.8140533299074109E-3</v>
      </c>
    </row>
    <row r="74" spans="1:9">
      <c r="A74" s="65">
        <v>26</v>
      </c>
      <c r="B74" s="98">
        <v>18</v>
      </c>
      <c r="C74" s="99">
        <v>51</v>
      </c>
      <c r="D74" s="100">
        <f>C34</f>
        <v>16.961296295943093</v>
      </c>
      <c r="E74" s="103">
        <f>C35</f>
        <v>0.57093066344110399</v>
      </c>
      <c r="F74" s="104">
        <f>C36</f>
        <v>2.7669955226584133E-2</v>
      </c>
      <c r="G74" s="100">
        <f>C37</f>
        <v>17.978282362609761</v>
      </c>
      <c r="H74" s="100">
        <f>C38</f>
        <v>1.0169860666666661</v>
      </c>
      <c r="I74" s="97">
        <f>C39</f>
        <v>5.4285406468209654E-4</v>
      </c>
    </row>
    <row r="75" spans="1:9">
      <c r="A75" s="65">
        <v>26</v>
      </c>
      <c r="B75" s="98">
        <v>18</v>
      </c>
      <c r="C75" s="99">
        <v>52</v>
      </c>
      <c r="D75" s="100">
        <f>D34</f>
        <v>79.156111111111159</v>
      </c>
      <c r="E75" s="103">
        <f>D35</f>
        <v>-3.0326659251019521</v>
      </c>
      <c r="F75" s="104">
        <f>D36</f>
        <v>0.63954788446426392</v>
      </c>
      <c r="G75" s="100">
        <f>D37</f>
        <v>86.16121767287413</v>
      </c>
      <c r="H75" s="100">
        <f>D38</f>
        <v>8.8497356217133163</v>
      </c>
      <c r="I75" s="97">
        <f>D39</f>
        <v>0.27952316117185927</v>
      </c>
    </row>
    <row r="76" spans="1:9">
      <c r="A76" s="65">
        <v>26</v>
      </c>
      <c r="B76" s="98">
        <v>18</v>
      </c>
      <c r="C76" s="99">
        <v>54</v>
      </c>
      <c r="D76" s="100">
        <f>E34</f>
        <v>97.791780019907804</v>
      </c>
      <c r="E76" s="103">
        <f>E35</f>
        <v>1.3710833935570774</v>
      </c>
      <c r="F76" s="104">
        <f>E36</f>
        <v>0.63252441121829284</v>
      </c>
      <c r="G76" s="100">
        <f>E37</f>
        <v>98.534637008013618</v>
      </c>
      <c r="H76" s="100">
        <f>E38</f>
        <v>0.7428569881058138</v>
      </c>
      <c r="I76" s="97">
        <f>E39</f>
        <v>0.18281715636899643</v>
      </c>
    </row>
    <row r="77" spans="1:9">
      <c r="A77" s="65">
        <v>26</v>
      </c>
      <c r="B77" s="98">
        <v>18</v>
      </c>
      <c r="C77" s="101">
        <v>55</v>
      </c>
      <c r="D77" s="105">
        <f>F34</f>
        <v>79.8305594198861</v>
      </c>
      <c r="E77" s="106">
        <f>F35</f>
        <v>1.3710833935570774</v>
      </c>
      <c r="F77" s="107">
        <f>F36</f>
        <v>0.63252441121829284</v>
      </c>
      <c r="G77" s="100">
        <f>F37</f>
        <v>74.714726681304896</v>
      </c>
      <c r="H77" s="100">
        <f>F38</f>
        <v>-6.408363884403431</v>
      </c>
      <c r="I77" s="97">
        <f>F39</f>
        <v>0.2327204592343729</v>
      </c>
    </row>
    <row r="78" spans="1:9">
      <c r="A78" s="65">
        <v>26</v>
      </c>
      <c r="B78" s="98">
        <v>18</v>
      </c>
      <c r="C78" s="101">
        <v>56</v>
      </c>
      <c r="D78" s="108">
        <f>G34</f>
        <v>7.0331305713874821</v>
      </c>
      <c r="E78" s="100">
        <f>G35</f>
        <v>9.3161825700452838E-2</v>
      </c>
      <c r="F78" s="97">
        <f>G36</f>
        <v>0.73086655342462437</v>
      </c>
      <c r="G78" s="100">
        <f>G37</f>
        <v>6.6654326359101059</v>
      </c>
      <c r="H78" s="100">
        <f>G38</f>
        <v>-0.36769793547737617</v>
      </c>
      <c r="I78" s="97">
        <f>G39</f>
        <v>0.28377702918152303</v>
      </c>
    </row>
    <row r="79" spans="1:9">
      <c r="A79" s="65">
        <v>26</v>
      </c>
      <c r="B79" s="98">
        <v>19</v>
      </c>
      <c r="C79" s="99">
        <v>51</v>
      </c>
      <c r="D79" s="100">
        <f>C40</f>
        <v>18.972419356308528</v>
      </c>
      <c r="E79" s="103">
        <f>C41</f>
        <v>0.98184960803184118</v>
      </c>
      <c r="F79" s="104">
        <f>C42</f>
        <v>2.2664265686489003E-3</v>
      </c>
      <c r="G79" s="100">
        <f>C43</f>
        <v>19.344603556308527</v>
      </c>
      <c r="H79" s="100">
        <f>C44</f>
        <v>0.37218419999999952</v>
      </c>
      <c r="I79" s="97">
        <f>C45</f>
        <v>0.21507621258029475</v>
      </c>
    </row>
    <row r="80" spans="1:9">
      <c r="A80" s="65">
        <v>26</v>
      </c>
      <c r="B80" s="98">
        <v>19</v>
      </c>
      <c r="C80" s="99">
        <v>52</v>
      </c>
      <c r="D80" s="100">
        <f>D40</f>
        <v>93.03055555555558</v>
      </c>
      <c r="E80" s="100">
        <f>D41</f>
        <v>14.131813125695217</v>
      </c>
      <c r="F80" s="104">
        <f>D42</f>
        <v>8.5541136562824249E-2</v>
      </c>
      <c r="G80" s="100">
        <f>D43</f>
        <v>118.08638295154033</v>
      </c>
      <c r="H80" s="100">
        <f>D44</f>
        <v>26.932900966093896</v>
      </c>
      <c r="I80" s="97">
        <f>D45</f>
        <v>2.4200503380952535E-2</v>
      </c>
    </row>
    <row r="81" spans="1:9">
      <c r="A81" s="65">
        <v>26</v>
      </c>
      <c r="B81" s="98">
        <v>19</v>
      </c>
      <c r="C81" s="99">
        <v>54</v>
      </c>
      <c r="D81" s="100">
        <f>E40</f>
        <v>89.395051094345845</v>
      </c>
      <c r="E81" s="103">
        <f>E41</f>
        <v>-6.7983456522719932</v>
      </c>
      <c r="F81" s="104">
        <f>E42</f>
        <v>7.3055191632261707E-2</v>
      </c>
      <c r="G81" s="100">
        <f>E43</f>
        <v>92.319363763784011</v>
      </c>
      <c r="H81" s="100">
        <f>E44</f>
        <v>2.9243126694381658</v>
      </c>
      <c r="I81" s="97">
        <f>E45</f>
        <v>0.17329436057121694</v>
      </c>
    </row>
    <row r="82" spans="1:9">
      <c r="A82" s="65">
        <v>26</v>
      </c>
      <c r="B82" s="98">
        <v>19</v>
      </c>
      <c r="C82" s="101">
        <v>55</v>
      </c>
      <c r="D82" s="105">
        <f>F40</f>
        <v>68.281342808387436</v>
      </c>
      <c r="E82" s="106">
        <f>F41</f>
        <v>-6.7983456522719932</v>
      </c>
      <c r="F82" s="107">
        <f>F42</f>
        <v>7.3055191632261707E-2</v>
      </c>
      <c r="G82" s="100">
        <f>F43</f>
        <v>56.873284638817786</v>
      </c>
      <c r="H82" s="100">
        <f>F44</f>
        <v>-16.707430903318912</v>
      </c>
      <c r="I82" s="97">
        <f>F45</f>
        <v>2.0591641169318983E-2</v>
      </c>
    </row>
    <row r="83" spans="1:9">
      <c r="A83" s="65">
        <v>26</v>
      </c>
      <c r="B83" s="98">
        <v>19</v>
      </c>
      <c r="C83" s="101">
        <v>56</v>
      </c>
      <c r="D83" s="108">
        <f>G40</f>
        <v>4.299437674376005</v>
      </c>
      <c r="E83" s="106">
        <f>G41</f>
        <v>-0.18084012237158262</v>
      </c>
      <c r="F83" s="109">
        <f>G42</f>
        <v>0.51767714275258092</v>
      </c>
      <c r="G83" s="100">
        <f>G43</f>
        <v>3.7563164804911855</v>
      </c>
      <c r="H83" s="100">
        <f>G44</f>
        <v>-0.5431211938848195</v>
      </c>
      <c r="I83" s="97">
        <f>G45</f>
        <v>8.3769540555787878E-2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O83"/>
  <sheetViews>
    <sheetView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18.538181003703865</v>
      </c>
      <c r="D4" s="31">
        <v>94.780211640211647</v>
      </c>
      <c r="E4" s="30">
        <v>77.133244118076419</v>
      </c>
      <c r="F4" s="30">
        <v>96.141711902718697</v>
      </c>
      <c r="G4" s="130">
        <v>5.1982605756810267</v>
      </c>
    </row>
    <row r="5" spans="1:8" ht="18.75">
      <c r="A5" s="178"/>
      <c r="B5" s="21" t="s">
        <v>17</v>
      </c>
      <c r="C5" s="131">
        <v>0.94648095323271697</v>
      </c>
      <c r="D5" s="33">
        <v>-1.0697106132034042</v>
      </c>
      <c r="E5" s="34">
        <v>-0.34587148452846878</v>
      </c>
      <c r="F5" s="34">
        <v>-0.34587148452846878</v>
      </c>
      <c r="G5" s="132">
        <v>-0.69814392221613175</v>
      </c>
    </row>
    <row r="6" spans="1:8">
      <c r="A6" s="178"/>
      <c r="B6" s="22" t="s">
        <v>18</v>
      </c>
      <c r="C6" s="133">
        <v>4.0034916305972104E-4</v>
      </c>
      <c r="D6" s="37">
        <v>0.90497273889663665</v>
      </c>
      <c r="E6" s="37">
        <v>0.70135948063153708</v>
      </c>
      <c r="F6" s="37">
        <v>0.70135948063153708</v>
      </c>
      <c r="G6" s="134">
        <v>6.6777149145115934E-4</v>
      </c>
    </row>
    <row r="7" spans="1:8" ht="18.75">
      <c r="A7" s="178"/>
      <c r="B7" s="23" t="s">
        <v>19</v>
      </c>
      <c r="C7" s="78">
        <v>19.579778053703865</v>
      </c>
      <c r="D7" s="38">
        <v>100.68647604051951</v>
      </c>
      <c r="E7" s="112">
        <v>68.342296150813269</v>
      </c>
      <c r="F7" s="10">
        <v>97.379154933928632</v>
      </c>
      <c r="G7" s="113">
        <v>4.7284191326468203</v>
      </c>
    </row>
    <row r="8" spans="1:8" ht="18.75">
      <c r="A8" s="178"/>
      <c r="B8" s="21" t="s">
        <v>20</v>
      </c>
      <c r="C8" s="135">
        <v>1.04159705</v>
      </c>
      <c r="D8" s="40">
        <v>6.2315374676817701</v>
      </c>
      <c r="E8" s="136">
        <v>-8.7909479672631505</v>
      </c>
      <c r="F8" s="10">
        <v>1.2871031800037422</v>
      </c>
      <c r="G8" s="137">
        <v>-0.46984144303420639</v>
      </c>
    </row>
    <row r="9" spans="1:8" ht="16.5" thickBot="1">
      <c r="A9" s="179"/>
      <c r="B9" s="25" t="s">
        <v>21</v>
      </c>
      <c r="C9" s="146">
        <v>7.3233807024769785E-3</v>
      </c>
      <c r="D9" s="139">
        <v>0.65354469074592125</v>
      </c>
      <c r="E9" s="147">
        <v>9.6878127156644744E-3</v>
      </c>
      <c r="F9" s="47">
        <v>0.53145244243926593</v>
      </c>
      <c r="G9" s="141">
        <v>9.4286157246055158E-2</v>
      </c>
    </row>
    <row r="10" spans="1:8" ht="18.75">
      <c r="A10" s="180" t="s">
        <v>2</v>
      </c>
      <c r="B10" s="20" t="s">
        <v>16</v>
      </c>
      <c r="C10" s="129">
        <v>10.576690861368867</v>
      </c>
      <c r="D10" s="31">
        <v>80.574074074074105</v>
      </c>
      <c r="E10" s="30">
        <v>97.761202088464245</v>
      </c>
      <c r="F10" s="30">
        <v>85.149792184489286</v>
      </c>
      <c r="G10" s="130">
        <v>5.8266801290492127</v>
      </c>
    </row>
    <row r="11" spans="1:8" ht="18.75">
      <c r="A11" s="178"/>
      <c r="B11" s="21" t="s">
        <v>17</v>
      </c>
      <c r="C11" s="131">
        <v>0.31205679712837475</v>
      </c>
      <c r="D11" s="33">
        <v>11.724385119268334</v>
      </c>
      <c r="E11" s="34">
        <v>3.8019605819924052</v>
      </c>
      <c r="F11" s="34">
        <v>3.8019605819924052</v>
      </c>
      <c r="G11" s="132">
        <v>0.27947486372340308</v>
      </c>
    </row>
    <row r="12" spans="1:8">
      <c r="A12" s="178"/>
      <c r="B12" s="22" t="s">
        <v>18</v>
      </c>
      <c r="C12" s="133">
        <v>0.23402944209549481</v>
      </c>
      <c r="D12" s="37">
        <v>0.11270716738807174</v>
      </c>
      <c r="E12" s="37">
        <v>0.10910849494587049</v>
      </c>
      <c r="F12" s="37">
        <v>0.10910849494587049</v>
      </c>
      <c r="G12" s="134">
        <v>9.0516511830408514E-2</v>
      </c>
    </row>
    <row r="13" spans="1:8" ht="18.75">
      <c r="A13" s="178"/>
      <c r="B13" s="23" t="s">
        <v>19</v>
      </c>
      <c r="C13" s="78">
        <v>12.311998511368868</v>
      </c>
      <c r="D13" s="38">
        <v>73.248592924382564</v>
      </c>
      <c r="E13" s="112">
        <v>96.937945057842157</v>
      </c>
      <c r="F13" s="10">
        <v>82.605597042421493</v>
      </c>
      <c r="G13" s="113">
        <v>5.5980451805003897</v>
      </c>
    </row>
    <row r="14" spans="1:8" ht="18.75">
      <c r="A14" s="178"/>
      <c r="B14" s="21" t="s">
        <v>20</v>
      </c>
      <c r="C14" s="135">
        <v>1.7353076500000011</v>
      </c>
      <c r="D14" s="10">
        <v>-9.0916107120970544</v>
      </c>
      <c r="E14" s="11">
        <v>-0.82325703062208788</v>
      </c>
      <c r="F14" s="10">
        <v>-2.9879052864338451</v>
      </c>
      <c r="G14" s="137">
        <v>-0.22863494854882305</v>
      </c>
    </row>
    <row r="15" spans="1:8" ht="16.5" thickBot="1">
      <c r="A15" s="181"/>
      <c r="B15" s="26" t="s">
        <v>21</v>
      </c>
      <c r="C15" s="149">
        <v>5.8680024526269522E-6</v>
      </c>
      <c r="D15" s="48">
        <v>0.31930978291967782</v>
      </c>
      <c r="E15" s="121">
        <v>0.52882030632198107</v>
      </c>
      <c r="F15" s="43">
        <v>0.29964835149487601</v>
      </c>
      <c r="G15" s="143">
        <v>0.25135751521592231</v>
      </c>
    </row>
    <row r="16" spans="1:8" ht="18.75">
      <c r="A16" s="177" t="s">
        <v>3</v>
      </c>
      <c r="B16" s="24" t="s">
        <v>16</v>
      </c>
      <c r="C16" s="144">
        <v>2.4430925935630987</v>
      </c>
      <c r="D16" s="45">
        <v>42.399100529100544</v>
      </c>
      <c r="E16" s="44">
        <v>87.621656584075424</v>
      </c>
      <c r="F16" s="44">
        <v>71.872984480237292</v>
      </c>
      <c r="G16" s="145">
        <v>3.1653321153319545</v>
      </c>
    </row>
    <row r="17" spans="1:7" ht="18.75">
      <c r="A17" s="178"/>
      <c r="B17" s="21" t="s">
        <v>17</v>
      </c>
      <c r="C17" s="131">
        <v>1.293152064094155</v>
      </c>
      <c r="D17" s="33">
        <v>2.6222681286084955</v>
      </c>
      <c r="E17" s="34">
        <v>3.2841198454369751</v>
      </c>
      <c r="F17" s="34">
        <v>3.2841198454369751</v>
      </c>
      <c r="G17" s="132">
        <v>0.23688137980586194</v>
      </c>
    </row>
    <row r="18" spans="1:7">
      <c r="A18" s="178"/>
      <c r="B18" s="22" t="s">
        <v>18</v>
      </c>
      <c r="C18" s="133">
        <v>1.638478627816713E-2</v>
      </c>
      <c r="D18" s="37">
        <v>0.61124034969276808</v>
      </c>
      <c r="E18" s="37">
        <v>0.25619465160230603</v>
      </c>
      <c r="F18" s="37">
        <v>0.25619465160230603</v>
      </c>
      <c r="G18" s="134">
        <v>0.23883038860548167</v>
      </c>
    </row>
    <row r="19" spans="1:7" ht="18.75">
      <c r="A19" s="178"/>
      <c r="B19" s="23" t="s">
        <v>19</v>
      </c>
      <c r="C19" s="78">
        <v>3.6587169268964321</v>
      </c>
      <c r="D19" s="38">
        <v>45.236828788552856</v>
      </c>
      <c r="E19" s="112">
        <v>88.049657506084287</v>
      </c>
      <c r="F19" s="10">
        <v>74.529015839869572</v>
      </c>
      <c r="G19" s="113">
        <v>3.3207979774532648</v>
      </c>
    </row>
    <row r="20" spans="1:7" ht="18.75">
      <c r="A20" s="178"/>
      <c r="B20" s="21" t="s">
        <v>20</v>
      </c>
      <c r="C20" s="135">
        <v>1.2156243333333334</v>
      </c>
      <c r="D20" s="10">
        <v>6.6928973115942423</v>
      </c>
      <c r="E20" s="11">
        <v>0.42800092200886297</v>
      </c>
      <c r="F20" s="10">
        <v>3.6954516065248506</v>
      </c>
      <c r="G20" s="137">
        <v>0.15546586212131031</v>
      </c>
    </row>
    <row r="21" spans="1:7" ht="16.5" thickBot="1">
      <c r="A21" s="179"/>
      <c r="B21" s="25" t="s">
        <v>21</v>
      </c>
      <c r="C21" s="146">
        <v>1.6089724143818797E-2</v>
      </c>
      <c r="D21" s="46">
        <v>0.60451754388132883</v>
      </c>
      <c r="E21" s="89">
        <v>0.77195639427893581</v>
      </c>
      <c r="F21" s="47">
        <v>0.39149365056667051</v>
      </c>
      <c r="G21" s="141">
        <v>0.36936230600185838</v>
      </c>
    </row>
    <row r="22" spans="1:7" ht="18.75">
      <c r="A22" s="180" t="s">
        <v>4</v>
      </c>
      <c r="B22" s="20" t="s">
        <v>16</v>
      </c>
      <c r="C22" s="129">
        <v>-2.2976190233270715</v>
      </c>
      <c r="D22" s="31">
        <v>113.21989417989417</v>
      </c>
      <c r="E22" s="30">
        <v>90.89189275846789</v>
      </c>
      <c r="F22" s="30">
        <v>96.168704720748465</v>
      </c>
      <c r="G22" s="130">
        <v>25.332766634659858</v>
      </c>
    </row>
    <row r="23" spans="1:7" ht="18.75">
      <c r="A23" s="178"/>
      <c r="B23" s="21" t="s">
        <v>17</v>
      </c>
      <c r="C23" s="131">
        <v>0.28265635631526448</v>
      </c>
      <c r="D23" s="68">
        <v>5.1053763440860189</v>
      </c>
      <c r="E23" s="34">
        <v>-0.36493993222424137</v>
      </c>
      <c r="F23" s="34">
        <v>-0.36493993222424137</v>
      </c>
      <c r="G23" s="132">
        <v>0.42388949596255138</v>
      </c>
    </row>
    <row r="24" spans="1:7">
      <c r="A24" s="178"/>
      <c r="B24" s="22" t="s">
        <v>18</v>
      </c>
      <c r="C24" s="133">
        <v>0.53532535853790897</v>
      </c>
      <c r="D24" s="37">
        <v>0.54737786069565963</v>
      </c>
      <c r="E24" s="37">
        <v>0.62397550469083884</v>
      </c>
      <c r="F24" s="37">
        <v>0.62397550469083884</v>
      </c>
      <c r="G24" s="134">
        <v>0.53968111317274547</v>
      </c>
    </row>
    <row r="25" spans="1:7" ht="18.75">
      <c r="A25" s="178"/>
      <c r="B25" s="23" t="s">
        <v>19</v>
      </c>
      <c r="C25" s="78">
        <v>-0.65378114554929345</v>
      </c>
      <c r="D25" s="38">
        <v>131.25788351171596</v>
      </c>
      <c r="E25" s="112">
        <v>87.653030267021833</v>
      </c>
      <c r="F25" s="10">
        <v>96.12037089756916</v>
      </c>
      <c r="G25" s="113">
        <v>24.38244469170769</v>
      </c>
    </row>
    <row r="26" spans="1:7" ht="18.75">
      <c r="A26" s="178"/>
      <c r="B26" s="21" t="s">
        <v>20</v>
      </c>
      <c r="C26" s="135">
        <v>1.643837877777778</v>
      </c>
      <c r="D26" s="10">
        <v>15.931819635126462</v>
      </c>
      <c r="E26" s="11">
        <v>-3.2388624914460564</v>
      </c>
      <c r="F26" s="10">
        <v>-5.025940956536732E-2</v>
      </c>
      <c r="G26" s="115">
        <v>-0.95032194295216854</v>
      </c>
    </row>
    <row r="27" spans="1:7" ht="16.5" thickBot="1">
      <c r="A27" s="181"/>
      <c r="B27" s="26" t="s">
        <v>21</v>
      </c>
      <c r="C27" s="149">
        <v>1.0449059445071759E-3</v>
      </c>
      <c r="D27" s="48">
        <v>3.1237711892433961E-2</v>
      </c>
      <c r="E27" s="121">
        <v>0.15022473226736144</v>
      </c>
      <c r="F27" s="43">
        <v>0.91770247922214498</v>
      </c>
      <c r="G27" s="122">
        <v>0.14089481476072985</v>
      </c>
    </row>
    <row r="28" spans="1:7" ht="18.75">
      <c r="A28" s="177" t="s">
        <v>5</v>
      </c>
      <c r="B28" s="24" t="s">
        <v>16</v>
      </c>
      <c r="C28" s="144">
        <v>8.1652070910008892</v>
      </c>
      <c r="D28" s="45">
        <v>121.17915343915344</v>
      </c>
      <c r="E28" s="44">
        <v>94.723111655059498</v>
      </c>
      <c r="F28" s="44">
        <v>97.547656060824409</v>
      </c>
      <c r="G28" s="145">
        <v>33.276805810968739</v>
      </c>
    </row>
    <row r="29" spans="1:7" ht="18.75">
      <c r="A29" s="178"/>
      <c r="B29" s="21" t="s">
        <v>17</v>
      </c>
      <c r="C29" s="131">
        <v>0.5312422175171303</v>
      </c>
      <c r="D29" s="68">
        <v>9.4834966541307004</v>
      </c>
      <c r="E29" s="34">
        <v>0.60698914696024775</v>
      </c>
      <c r="F29" s="34">
        <v>0.60698914696024775</v>
      </c>
      <c r="G29" s="132">
        <v>-2.2009044550069586E-2</v>
      </c>
    </row>
    <row r="30" spans="1:7">
      <c r="A30" s="178"/>
      <c r="B30" s="22" t="s">
        <v>18</v>
      </c>
      <c r="C30" s="133">
        <v>5.9836237107396613E-2</v>
      </c>
      <c r="D30" s="37">
        <v>0.18657356507163858</v>
      </c>
      <c r="E30" s="49">
        <v>0.29079149764370893</v>
      </c>
      <c r="F30" s="49">
        <v>0.29079149764370893</v>
      </c>
      <c r="G30" s="134">
        <v>0.96340907651902419</v>
      </c>
    </row>
    <row r="31" spans="1:7" ht="18.75">
      <c r="A31" s="178"/>
      <c r="B31" s="23" t="s">
        <v>19</v>
      </c>
      <c r="C31" s="78">
        <v>8.9870771021120017</v>
      </c>
      <c r="D31" s="38">
        <v>118.66750804291429</v>
      </c>
      <c r="E31" s="112">
        <v>88.684017463518884</v>
      </c>
      <c r="F31" s="10">
        <v>97.289988301687544</v>
      </c>
      <c r="G31" s="113">
        <v>31.049937812630517</v>
      </c>
    </row>
    <row r="32" spans="1:7" ht="18.75">
      <c r="A32" s="178"/>
      <c r="B32" s="21" t="s">
        <v>20</v>
      </c>
      <c r="C32" s="135">
        <v>0.82187001111111258</v>
      </c>
      <c r="D32" s="10">
        <v>-2.0726711855602296</v>
      </c>
      <c r="E32" s="11">
        <v>-6.0390941915406131</v>
      </c>
      <c r="F32" s="10">
        <v>-0.26414551568128208</v>
      </c>
      <c r="G32" s="115">
        <v>-2.2268679983382214</v>
      </c>
    </row>
    <row r="33" spans="1:15" ht="16.5" thickBot="1">
      <c r="A33" s="179"/>
      <c r="B33" s="25" t="s">
        <v>21</v>
      </c>
      <c r="C33" s="146">
        <v>6.7678194351742283E-4</v>
      </c>
      <c r="D33" s="46">
        <v>0.77863063527823395</v>
      </c>
      <c r="E33" s="117">
        <v>7.4286883092773226E-4</v>
      </c>
      <c r="F33" s="47">
        <v>0.63680921883301167</v>
      </c>
      <c r="G33" s="118">
        <v>9.6414620501240639E-4</v>
      </c>
    </row>
    <row r="34" spans="1:15" ht="18.75">
      <c r="A34" s="177" t="s">
        <v>6</v>
      </c>
      <c r="B34" s="24" t="s">
        <v>16</v>
      </c>
      <c r="C34" s="129">
        <v>16.961296295943093</v>
      </c>
      <c r="D34" s="31">
        <v>67.805925925925933</v>
      </c>
      <c r="E34" s="30">
        <v>83.483294118711356</v>
      </c>
      <c r="F34" s="30">
        <v>84.753239730235052</v>
      </c>
      <c r="G34" s="130">
        <v>6.3075571650284861</v>
      </c>
    </row>
    <row r="35" spans="1:15" ht="18.75">
      <c r="A35" s="178"/>
      <c r="B35" s="21" t="s">
        <v>17</v>
      </c>
      <c r="C35" s="131">
        <v>0.48379577998496337</v>
      </c>
      <c r="D35" s="33">
        <v>1.1994561858855435</v>
      </c>
      <c r="E35" s="34">
        <v>-0.17027250078373204</v>
      </c>
      <c r="F35" s="34">
        <v>-0.17027250078373204</v>
      </c>
      <c r="G35" s="132">
        <v>-0.38078789277876973</v>
      </c>
    </row>
    <row r="36" spans="1:15">
      <c r="A36" s="178"/>
      <c r="B36" s="22" t="s">
        <v>18</v>
      </c>
      <c r="C36" s="133">
        <v>0.19579139493400149</v>
      </c>
      <c r="D36" s="37">
        <v>0.82094305600598039</v>
      </c>
      <c r="E36" s="37">
        <v>0.93513697760648218</v>
      </c>
      <c r="F36" s="37">
        <v>0.93513697760648218</v>
      </c>
      <c r="G36" s="134">
        <v>0.13123612362298864</v>
      </c>
    </row>
    <row r="37" spans="1:15" ht="18.75">
      <c r="A37" s="178"/>
      <c r="B37" s="23" t="s">
        <v>19</v>
      </c>
      <c r="C37" s="78">
        <v>18.053799029276426</v>
      </c>
      <c r="D37" s="38">
        <v>66.134731331077219</v>
      </c>
      <c r="E37" s="112">
        <v>77.209456058710515</v>
      </c>
      <c r="F37" s="10">
        <v>85.111944461233705</v>
      </c>
      <c r="G37" s="113">
        <v>5.8013682579849197</v>
      </c>
    </row>
    <row r="38" spans="1:15" ht="18.75">
      <c r="A38" s="178"/>
      <c r="B38" s="21" t="s">
        <v>20</v>
      </c>
      <c r="C38" s="135">
        <v>1.0925027333333333</v>
      </c>
      <c r="D38" s="10">
        <v>-2.4646733630249318</v>
      </c>
      <c r="E38" s="11">
        <v>-6.2738380600008412</v>
      </c>
      <c r="F38" s="10">
        <v>0.42323424112210017</v>
      </c>
      <c r="G38" s="115">
        <v>-0.50618890704356634</v>
      </c>
    </row>
    <row r="39" spans="1:15" ht="16.5" thickBot="1">
      <c r="A39" s="179"/>
      <c r="B39" s="25" t="s">
        <v>21</v>
      </c>
      <c r="C39" s="149">
        <v>1.0229641671956654E-3</v>
      </c>
      <c r="D39" s="48">
        <v>0.81309781087058264</v>
      </c>
      <c r="E39" s="121">
        <v>1.8286741915941598E-3</v>
      </c>
      <c r="F39" s="43">
        <v>0.86039980087322365</v>
      </c>
      <c r="G39" s="122">
        <v>6.3682716560858697E-3</v>
      </c>
    </row>
    <row r="40" spans="1:15" ht="18.75">
      <c r="A40" s="180" t="s">
        <v>7</v>
      </c>
      <c r="B40" s="20" t="s">
        <v>16</v>
      </c>
      <c r="C40" s="144">
        <v>18.972419356308528</v>
      </c>
      <c r="D40" s="45">
        <v>52.106137566137583</v>
      </c>
      <c r="E40" s="44">
        <v>95.457042143801203</v>
      </c>
      <c r="F40" s="44">
        <v>86.368250083481911</v>
      </c>
      <c r="G40" s="145">
        <v>5.7705781401613949</v>
      </c>
    </row>
    <row r="41" spans="1:15" ht="18.75">
      <c r="A41" s="178"/>
      <c r="B41" s="21" t="s">
        <v>17</v>
      </c>
      <c r="C41" s="131">
        <v>0.93237417917185106</v>
      </c>
      <c r="D41" s="33">
        <v>-1.3643589879407472</v>
      </c>
      <c r="E41" s="34">
        <v>0.67536137436278976</v>
      </c>
      <c r="F41" s="34">
        <v>0.67536137436278976</v>
      </c>
      <c r="G41" s="132">
        <v>-5.4666308476476938E-2</v>
      </c>
    </row>
    <row r="42" spans="1:15">
      <c r="A42" s="178"/>
      <c r="B42" s="22" t="s">
        <v>18</v>
      </c>
      <c r="C42" s="133">
        <v>1.1515976157661848E-2</v>
      </c>
      <c r="D42" s="37">
        <v>0.81682870748904857</v>
      </c>
      <c r="E42" s="49">
        <v>0.77300603703563064</v>
      </c>
      <c r="F42" s="49">
        <v>0.77300603703563064</v>
      </c>
      <c r="G42" s="134">
        <v>0.7570174508784796</v>
      </c>
    </row>
    <row r="43" spans="1:15" ht="18.75">
      <c r="A43" s="178"/>
      <c r="B43" s="23" t="s">
        <v>19</v>
      </c>
      <c r="C43" s="78">
        <v>19.892096622975195</v>
      </c>
      <c r="D43" s="38">
        <v>62.404754894054193</v>
      </c>
      <c r="E43" s="112">
        <v>96.598080976929253</v>
      </c>
      <c r="F43" s="10">
        <v>83.388113075395438</v>
      </c>
      <c r="G43" s="113">
        <v>5.6322083254448776</v>
      </c>
    </row>
    <row r="44" spans="1:15" ht="18.75">
      <c r="A44" s="178"/>
      <c r="B44" s="21" t="s">
        <v>20</v>
      </c>
      <c r="C44" s="135">
        <v>0.91967726666666749</v>
      </c>
      <c r="D44" s="10">
        <v>19.764691471987767</v>
      </c>
      <c r="E44" s="11">
        <v>1.1410388331280501</v>
      </c>
      <c r="F44" s="10">
        <v>-3.4505006240209015</v>
      </c>
      <c r="G44" s="137">
        <v>-0.13836981471651733</v>
      </c>
    </row>
    <row r="45" spans="1:15" ht="16.5" thickBot="1">
      <c r="A45" s="179"/>
      <c r="B45" s="25" t="s">
        <v>21</v>
      </c>
      <c r="C45" s="149">
        <v>1.7350052668957925E-2</v>
      </c>
      <c r="D45" s="48">
        <v>0.29569810114459738</v>
      </c>
      <c r="E45" s="121">
        <v>0.2095839391352633</v>
      </c>
      <c r="F45" s="43">
        <v>0.33045337499497007</v>
      </c>
      <c r="G45" s="143">
        <v>0.55215254825499871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18.538181003703865</v>
      </c>
      <c r="E49" s="100">
        <f>C5</f>
        <v>0.94648095323271697</v>
      </c>
      <c r="F49" s="97">
        <f>C6</f>
        <v>4.0034916305972104E-4</v>
      </c>
      <c r="G49" s="100">
        <f>C7</f>
        <v>19.579778053703865</v>
      </c>
      <c r="H49" s="100">
        <f>C8</f>
        <v>1.04159705</v>
      </c>
      <c r="I49" s="97">
        <f>C9</f>
        <v>7.3233807024769785E-3</v>
      </c>
    </row>
    <row r="50" spans="1:9">
      <c r="A50" s="65">
        <v>26</v>
      </c>
      <c r="B50" s="98">
        <v>13</v>
      </c>
      <c r="C50" s="99">
        <v>52</v>
      </c>
      <c r="D50" s="100">
        <f>D4</f>
        <v>94.780211640211647</v>
      </c>
      <c r="E50" s="100">
        <f>D5</f>
        <v>-1.0697106132034042</v>
      </c>
      <c r="F50" s="97">
        <f>D6</f>
        <v>0.90497273889663665</v>
      </c>
      <c r="G50" s="100">
        <f>D7</f>
        <v>100.68647604051951</v>
      </c>
      <c r="H50" s="100">
        <f>D8</f>
        <v>6.2315374676817701</v>
      </c>
      <c r="I50" s="97">
        <f>D9</f>
        <v>0.65354469074592125</v>
      </c>
    </row>
    <row r="51" spans="1:9">
      <c r="A51" s="65">
        <v>26</v>
      </c>
      <c r="B51" s="98">
        <v>13</v>
      </c>
      <c r="C51" s="99">
        <v>54</v>
      </c>
      <c r="D51" s="100">
        <f>E4</f>
        <v>77.133244118076419</v>
      </c>
      <c r="E51" s="100">
        <f>E5</f>
        <v>-0.34587148452846878</v>
      </c>
      <c r="F51" s="97">
        <f>E6</f>
        <v>0.70135948063153708</v>
      </c>
      <c r="G51" s="100">
        <f>E7</f>
        <v>68.342296150813269</v>
      </c>
      <c r="H51" s="100">
        <f>E8</f>
        <v>-8.7909479672631505</v>
      </c>
      <c r="I51" s="97">
        <f>E9</f>
        <v>9.6878127156644744E-3</v>
      </c>
    </row>
    <row r="52" spans="1:9">
      <c r="A52" s="65">
        <v>26</v>
      </c>
      <c r="B52" s="98">
        <v>13</v>
      </c>
      <c r="C52" s="101">
        <v>55</v>
      </c>
      <c r="D52" s="100">
        <f>F4</f>
        <v>96.141711902718697</v>
      </c>
      <c r="E52" s="100">
        <f>F5</f>
        <v>-0.34587148452846878</v>
      </c>
      <c r="F52" s="97">
        <f>F6</f>
        <v>0.70135948063153708</v>
      </c>
      <c r="G52" s="100">
        <f>F7</f>
        <v>97.379154933928632</v>
      </c>
      <c r="H52" s="100">
        <f>F8</f>
        <v>1.2871031800037422</v>
      </c>
      <c r="I52" s="97">
        <f>F9</f>
        <v>0.53145244243926593</v>
      </c>
    </row>
    <row r="53" spans="1:9">
      <c r="A53" s="65">
        <v>26</v>
      </c>
      <c r="B53" s="98">
        <v>13</v>
      </c>
      <c r="C53" s="101">
        <v>56</v>
      </c>
      <c r="D53" s="100">
        <f>G4</f>
        <v>5.1982605756810267</v>
      </c>
      <c r="E53" s="100">
        <f>G5</f>
        <v>-0.69814392221613175</v>
      </c>
      <c r="F53" s="97">
        <f>G6</f>
        <v>6.6777149145115934E-4</v>
      </c>
      <c r="G53" s="100">
        <f>G7</f>
        <v>4.7284191326468203</v>
      </c>
      <c r="H53" s="100">
        <f>G8</f>
        <v>-0.46984144303420639</v>
      </c>
      <c r="I53" s="97">
        <f>G9</f>
        <v>9.4286157246055158E-2</v>
      </c>
    </row>
    <row r="54" spans="1:9">
      <c r="A54" s="65">
        <v>26</v>
      </c>
      <c r="B54" s="98">
        <v>14</v>
      </c>
      <c r="C54" s="99">
        <v>51</v>
      </c>
      <c r="D54" s="100">
        <f>C10</f>
        <v>10.576690861368867</v>
      </c>
      <c r="E54" s="100">
        <f>C11</f>
        <v>0.31205679712837475</v>
      </c>
      <c r="F54" s="97">
        <f>C12</f>
        <v>0.23402944209549481</v>
      </c>
      <c r="G54" s="100">
        <f>C13</f>
        <v>12.311998511368868</v>
      </c>
      <c r="H54" s="100">
        <f>C14</f>
        <v>1.7353076500000011</v>
      </c>
      <c r="I54" s="97">
        <f>C15</f>
        <v>5.8680024526269522E-6</v>
      </c>
    </row>
    <row r="55" spans="1:9">
      <c r="A55" s="65">
        <v>26</v>
      </c>
      <c r="B55" s="98">
        <v>14</v>
      </c>
      <c r="C55" s="99">
        <v>52</v>
      </c>
      <c r="D55" s="100">
        <f>D10</f>
        <v>80.574074074074105</v>
      </c>
      <c r="E55" s="100">
        <f>D11</f>
        <v>11.724385119268334</v>
      </c>
      <c r="F55" s="97">
        <f>D12</f>
        <v>0.11270716738807174</v>
      </c>
      <c r="G55" s="100">
        <f>D13</f>
        <v>73.248592924382564</v>
      </c>
      <c r="H55" s="100">
        <f>D14</f>
        <v>-9.0916107120970544</v>
      </c>
      <c r="I55" s="97">
        <f>D15</f>
        <v>0.31930978291967782</v>
      </c>
    </row>
    <row r="56" spans="1:9">
      <c r="A56" s="65">
        <v>26</v>
      </c>
      <c r="B56" s="98">
        <v>14</v>
      </c>
      <c r="C56" s="99">
        <v>54</v>
      </c>
      <c r="D56" s="100">
        <f>E10</f>
        <v>97.761202088464245</v>
      </c>
      <c r="E56" s="100">
        <f>E11</f>
        <v>3.8019605819924052</v>
      </c>
      <c r="F56" s="97">
        <f>E12</f>
        <v>0.10910849494587049</v>
      </c>
      <c r="G56" s="100">
        <f>E13</f>
        <v>96.937945057842157</v>
      </c>
      <c r="H56" s="100">
        <f>E14</f>
        <v>-0.82325703062208788</v>
      </c>
      <c r="I56" s="97">
        <f>E15</f>
        <v>0.52882030632198107</v>
      </c>
    </row>
    <row r="57" spans="1:9">
      <c r="A57" s="65">
        <v>26</v>
      </c>
      <c r="B57" s="98">
        <v>14</v>
      </c>
      <c r="C57" s="101">
        <v>55</v>
      </c>
      <c r="D57" s="100">
        <f>F10</f>
        <v>85.149792184489286</v>
      </c>
      <c r="E57" s="100">
        <f>F11</f>
        <v>3.8019605819924052</v>
      </c>
      <c r="F57" s="97">
        <f>F12</f>
        <v>0.10910849494587049</v>
      </c>
      <c r="G57" s="100">
        <f>F13</f>
        <v>82.605597042421493</v>
      </c>
      <c r="H57" s="100">
        <f>F14</f>
        <v>-2.9879052864338451</v>
      </c>
      <c r="I57" s="97">
        <f>F15</f>
        <v>0.29964835149487601</v>
      </c>
    </row>
    <row r="58" spans="1:9">
      <c r="A58" s="65">
        <v>26</v>
      </c>
      <c r="B58" s="98">
        <v>14</v>
      </c>
      <c r="C58" s="101">
        <v>56</v>
      </c>
      <c r="D58" s="100">
        <f>G10</f>
        <v>5.8266801290492127</v>
      </c>
      <c r="E58" s="100">
        <f>G11</f>
        <v>0.27947486372340308</v>
      </c>
      <c r="F58" s="97">
        <f>G12</f>
        <v>9.0516511830408514E-2</v>
      </c>
      <c r="G58" s="100">
        <f>G13</f>
        <v>5.5980451805003897</v>
      </c>
      <c r="H58" s="100">
        <f>G14</f>
        <v>-0.22863494854882305</v>
      </c>
      <c r="I58" s="97">
        <f>G15</f>
        <v>0.25135751521592231</v>
      </c>
    </row>
    <row r="59" spans="1:9">
      <c r="A59" s="65">
        <v>26</v>
      </c>
      <c r="B59" s="98">
        <v>15</v>
      </c>
      <c r="C59" s="99">
        <v>51</v>
      </c>
      <c r="D59" s="100">
        <f>C16</f>
        <v>2.4430925935630987</v>
      </c>
      <c r="E59" s="100">
        <f>C17</f>
        <v>1.293152064094155</v>
      </c>
      <c r="F59" s="97">
        <f>C18</f>
        <v>1.638478627816713E-2</v>
      </c>
      <c r="G59" s="100">
        <f>C19</f>
        <v>3.6587169268964321</v>
      </c>
      <c r="H59" s="100">
        <f>C20</f>
        <v>1.2156243333333334</v>
      </c>
      <c r="I59" s="97">
        <f>C21</f>
        <v>1.6089724143818797E-2</v>
      </c>
    </row>
    <row r="60" spans="1:9">
      <c r="A60" s="65">
        <v>26</v>
      </c>
      <c r="B60" s="98">
        <v>15</v>
      </c>
      <c r="C60" s="99">
        <v>52</v>
      </c>
      <c r="D60" s="100">
        <f>D16</f>
        <v>42.399100529100544</v>
      </c>
      <c r="E60" s="100">
        <f>D17</f>
        <v>2.6222681286084955</v>
      </c>
      <c r="F60" s="97">
        <f>D18</f>
        <v>0.61124034969276808</v>
      </c>
      <c r="G60" s="100">
        <f>D19</f>
        <v>45.236828788552856</v>
      </c>
      <c r="H60" s="100">
        <f>D20</f>
        <v>6.6928973115942423</v>
      </c>
      <c r="I60" s="97">
        <f>D21</f>
        <v>0.60451754388132883</v>
      </c>
    </row>
    <row r="61" spans="1:9">
      <c r="A61" s="65">
        <v>26</v>
      </c>
      <c r="B61" s="98">
        <v>15</v>
      </c>
      <c r="C61" s="99">
        <v>54</v>
      </c>
      <c r="D61" s="100">
        <f>E16</f>
        <v>87.621656584075424</v>
      </c>
      <c r="E61" s="100">
        <f>E17</f>
        <v>3.2841198454369751</v>
      </c>
      <c r="F61" s="97">
        <f>E18</f>
        <v>0.25619465160230603</v>
      </c>
      <c r="G61" s="100">
        <f>E19</f>
        <v>88.049657506084287</v>
      </c>
      <c r="H61" s="100">
        <f>E20</f>
        <v>0.42800092200886297</v>
      </c>
      <c r="I61" s="97">
        <f>E21</f>
        <v>0.77195639427893581</v>
      </c>
    </row>
    <row r="62" spans="1:9">
      <c r="A62" s="65">
        <v>26</v>
      </c>
      <c r="B62" s="98">
        <v>15</v>
      </c>
      <c r="C62" s="101">
        <v>55</v>
      </c>
      <c r="D62" s="102">
        <f>F16</f>
        <v>71.872984480237292</v>
      </c>
      <c r="E62" s="100">
        <f>F17</f>
        <v>3.2841198454369751</v>
      </c>
      <c r="F62" s="97">
        <f>F18</f>
        <v>0.25619465160230603</v>
      </c>
      <c r="G62" s="100">
        <f>F19</f>
        <v>74.529015839869572</v>
      </c>
      <c r="H62" s="100">
        <f>F20</f>
        <v>3.6954516065248506</v>
      </c>
      <c r="I62" s="97">
        <f>F21</f>
        <v>0.39149365056667051</v>
      </c>
    </row>
    <row r="63" spans="1:9">
      <c r="A63" s="65">
        <v>26</v>
      </c>
      <c r="B63" s="98">
        <v>15</v>
      </c>
      <c r="C63" s="101">
        <v>56</v>
      </c>
      <c r="D63" s="102">
        <f>G16</f>
        <v>3.1653321153319545</v>
      </c>
      <c r="E63" s="100">
        <f>G17</f>
        <v>0.23688137980586194</v>
      </c>
      <c r="F63" s="97">
        <f>G18</f>
        <v>0.23883038860548167</v>
      </c>
      <c r="G63" s="100">
        <f>G19</f>
        <v>3.3207979774532648</v>
      </c>
      <c r="H63" s="100">
        <f>G20</f>
        <v>0.15546586212131031</v>
      </c>
      <c r="I63" s="97">
        <f>G21</f>
        <v>0.36936230600185838</v>
      </c>
    </row>
    <row r="64" spans="1:9">
      <c r="A64" s="65">
        <v>26</v>
      </c>
      <c r="B64" s="98">
        <v>16</v>
      </c>
      <c r="C64" s="99">
        <v>51</v>
      </c>
      <c r="D64" s="100">
        <f>C22</f>
        <v>-2.2976190233270715</v>
      </c>
      <c r="E64" s="103">
        <f>C23</f>
        <v>0.28265635631526448</v>
      </c>
      <c r="F64" s="104">
        <f>C24</f>
        <v>0.53532535853790897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113.21989417989417</v>
      </c>
      <c r="E65" s="103">
        <f>D23</f>
        <v>5.1053763440860189</v>
      </c>
      <c r="F65" s="104">
        <f>D24</f>
        <v>0.54737786069565963</v>
      </c>
      <c r="G65" s="100">
        <f>D25</f>
        <v>131.25788351171596</v>
      </c>
      <c r="H65" s="100">
        <f>D26</f>
        <v>15.931819635126462</v>
      </c>
      <c r="I65" s="97">
        <f>D27</f>
        <v>3.1237711892433961E-2</v>
      </c>
    </row>
    <row r="66" spans="1:9">
      <c r="A66" s="65">
        <v>26</v>
      </c>
      <c r="B66" s="98">
        <v>16</v>
      </c>
      <c r="C66" s="99">
        <v>54</v>
      </c>
      <c r="D66" s="100">
        <f>E22</f>
        <v>90.89189275846789</v>
      </c>
      <c r="E66" s="103">
        <f>E23</f>
        <v>-0.36493993222424137</v>
      </c>
      <c r="F66" s="104">
        <f>E24</f>
        <v>0.62397550469083884</v>
      </c>
      <c r="G66" s="100">
        <f>E25</f>
        <v>87.653030267021833</v>
      </c>
      <c r="H66" s="100">
        <f>E26</f>
        <v>-3.2388624914460564</v>
      </c>
      <c r="I66" s="97">
        <f>E27</f>
        <v>0.15022473226736144</v>
      </c>
    </row>
    <row r="67" spans="1:9">
      <c r="A67" s="65">
        <v>26</v>
      </c>
      <c r="B67" s="98">
        <v>16</v>
      </c>
      <c r="C67" s="101">
        <v>55</v>
      </c>
      <c r="D67" s="105">
        <f>F22</f>
        <v>96.168704720748465</v>
      </c>
      <c r="E67" s="106">
        <f>F23</f>
        <v>-0.36493993222424137</v>
      </c>
      <c r="F67" s="107">
        <f>F24</f>
        <v>0.62397550469083884</v>
      </c>
      <c r="G67" s="100">
        <f>F25</f>
        <v>96.12037089756916</v>
      </c>
      <c r="H67" s="100">
        <f>F26</f>
        <v>-5.025940956536732E-2</v>
      </c>
      <c r="I67" s="97">
        <f>F27</f>
        <v>0.91770247922214498</v>
      </c>
    </row>
    <row r="68" spans="1:9">
      <c r="A68" s="65">
        <v>26</v>
      </c>
      <c r="B68" s="98">
        <v>16</v>
      </c>
      <c r="C68" s="101">
        <v>56</v>
      </c>
      <c r="D68" s="108">
        <f>G22</f>
        <v>25.332766634659858</v>
      </c>
      <c r="E68" s="100">
        <f>G23</f>
        <v>0.42388949596255138</v>
      </c>
      <c r="F68" s="97">
        <f>G24</f>
        <v>0.53968111317274547</v>
      </c>
      <c r="G68" s="100">
        <f>G25</f>
        <v>24.38244469170769</v>
      </c>
      <c r="H68" s="100">
        <f>G23</f>
        <v>0.42388949596255138</v>
      </c>
      <c r="I68" s="97">
        <f>G24</f>
        <v>0.53968111317274547</v>
      </c>
    </row>
    <row r="69" spans="1:9">
      <c r="A69" s="65">
        <v>26</v>
      </c>
      <c r="B69" s="98">
        <v>17</v>
      </c>
      <c r="C69" s="99">
        <v>51</v>
      </c>
      <c r="D69" s="100">
        <f>C28</f>
        <v>8.1652070910008892</v>
      </c>
      <c r="E69" s="103">
        <f>C29</f>
        <v>0.5312422175171303</v>
      </c>
      <c r="F69" s="104">
        <f>C30</f>
        <v>5.9836237107396613E-2</v>
      </c>
      <c r="G69" s="100">
        <f>C31</f>
        <v>8.9870771021120017</v>
      </c>
      <c r="H69" s="100">
        <f>C32</f>
        <v>0.82187001111111258</v>
      </c>
      <c r="I69" s="97">
        <f>C33</f>
        <v>6.7678194351742283E-4</v>
      </c>
    </row>
    <row r="70" spans="1:9">
      <c r="A70" s="65">
        <v>26</v>
      </c>
      <c r="B70" s="98">
        <v>17</v>
      </c>
      <c r="C70" s="99">
        <v>52</v>
      </c>
      <c r="D70" s="100">
        <f>D28</f>
        <v>121.17915343915344</v>
      </c>
      <c r="E70" s="103">
        <f>D29</f>
        <v>9.4834966541307004</v>
      </c>
      <c r="F70" s="104">
        <f>D30</f>
        <v>0.18657356507163858</v>
      </c>
      <c r="G70" s="100">
        <f>D31</f>
        <v>118.66750804291429</v>
      </c>
      <c r="H70" s="100">
        <f>D32</f>
        <v>-2.0726711855602296</v>
      </c>
      <c r="I70" s="97">
        <f>D33</f>
        <v>0.77863063527823395</v>
      </c>
    </row>
    <row r="71" spans="1:9">
      <c r="A71" s="65">
        <v>26</v>
      </c>
      <c r="B71" s="98">
        <v>17</v>
      </c>
      <c r="C71" s="99">
        <v>54</v>
      </c>
      <c r="D71" s="100">
        <f>E28</f>
        <v>94.723111655059498</v>
      </c>
      <c r="E71" s="103">
        <f>E29</f>
        <v>0.60698914696024775</v>
      </c>
      <c r="F71" s="104">
        <f>E30</f>
        <v>0.29079149764370893</v>
      </c>
      <c r="G71" s="100">
        <f>E31</f>
        <v>88.684017463518884</v>
      </c>
      <c r="H71" s="100">
        <f>E32</f>
        <v>-6.0390941915406131</v>
      </c>
      <c r="I71" s="97">
        <f>E33</f>
        <v>7.4286883092773226E-4</v>
      </c>
    </row>
    <row r="72" spans="1:9">
      <c r="A72" s="65">
        <v>26</v>
      </c>
      <c r="B72" s="98">
        <v>17</v>
      </c>
      <c r="C72" s="101">
        <v>55</v>
      </c>
      <c r="D72" s="105">
        <f>F28</f>
        <v>97.547656060824409</v>
      </c>
      <c r="E72" s="106">
        <f>F29</f>
        <v>0.60698914696024775</v>
      </c>
      <c r="F72" s="107">
        <f>F30</f>
        <v>0.29079149764370893</v>
      </c>
      <c r="G72" s="100">
        <f>F31</f>
        <v>97.289988301687544</v>
      </c>
      <c r="H72" s="100">
        <f>F32</f>
        <v>-0.26414551568128208</v>
      </c>
      <c r="I72" s="97">
        <f>F33</f>
        <v>0.63680921883301167</v>
      </c>
    </row>
    <row r="73" spans="1:9">
      <c r="A73" s="65">
        <v>26</v>
      </c>
      <c r="B73" s="98">
        <v>17</v>
      </c>
      <c r="C73" s="101">
        <v>56</v>
      </c>
      <c r="D73" s="108">
        <f>G28</f>
        <v>33.276805810968739</v>
      </c>
      <c r="E73" s="100">
        <f>G29</f>
        <v>-2.2009044550069586E-2</v>
      </c>
      <c r="F73" s="97">
        <f>G30</f>
        <v>0.96340907651902419</v>
      </c>
      <c r="G73" s="100">
        <f>G31</f>
        <v>31.049937812630517</v>
      </c>
      <c r="H73" s="100">
        <f>G32</f>
        <v>-2.2268679983382214</v>
      </c>
      <c r="I73" s="97">
        <f>G33</f>
        <v>9.6414620501240639E-4</v>
      </c>
    </row>
    <row r="74" spans="1:9">
      <c r="A74" s="65">
        <v>26</v>
      </c>
      <c r="B74" s="98">
        <v>18</v>
      </c>
      <c r="C74" s="99">
        <v>51</v>
      </c>
      <c r="D74" s="100">
        <f>C34</f>
        <v>16.961296295943093</v>
      </c>
      <c r="E74" s="103">
        <f>C35</f>
        <v>0.48379577998496337</v>
      </c>
      <c r="F74" s="104">
        <f>C36</f>
        <v>0.19579139493400149</v>
      </c>
      <c r="G74" s="100">
        <f>C37</f>
        <v>18.053799029276426</v>
      </c>
      <c r="H74" s="100">
        <f>C38</f>
        <v>1.0925027333333333</v>
      </c>
      <c r="I74" s="97">
        <f>C39</f>
        <v>1.0229641671956654E-3</v>
      </c>
    </row>
    <row r="75" spans="1:9">
      <c r="A75" s="65">
        <v>26</v>
      </c>
      <c r="B75" s="98">
        <v>18</v>
      </c>
      <c r="C75" s="99">
        <v>52</v>
      </c>
      <c r="D75" s="100">
        <f>D34</f>
        <v>67.805925925925933</v>
      </c>
      <c r="E75" s="103">
        <f>D35</f>
        <v>1.1994561858855435</v>
      </c>
      <c r="F75" s="104">
        <f>D36</f>
        <v>0.82094305600598039</v>
      </c>
      <c r="G75" s="100">
        <f>D37</f>
        <v>66.134731331077219</v>
      </c>
      <c r="H75" s="100">
        <f>D38</f>
        <v>-2.4646733630249318</v>
      </c>
      <c r="I75" s="97">
        <f>D39</f>
        <v>0.81309781087058264</v>
      </c>
    </row>
    <row r="76" spans="1:9">
      <c r="A76" s="65">
        <v>26</v>
      </c>
      <c r="B76" s="98">
        <v>18</v>
      </c>
      <c r="C76" s="99">
        <v>54</v>
      </c>
      <c r="D76" s="100">
        <f>E34</f>
        <v>83.483294118711356</v>
      </c>
      <c r="E76" s="103">
        <f>E35</f>
        <v>-0.17027250078373204</v>
      </c>
      <c r="F76" s="104">
        <f>E36</f>
        <v>0.93513697760648218</v>
      </c>
      <c r="G76" s="100">
        <f>E37</f>
        <v>77.209456058710515</v>
      </c>
      <c r="H76" s="100">
        <f>E38</f>
        <v>-6.2738380600008412</v>
      </c>
      <c r="I76" s="97">
        <f>E39</f>
        <v>1.8286741915941598E-3</v>
      </c>
    </row>
    <row r="77" spans="1:9">
      <c r="A77" s="65">
        <v>26</v>
      </c>
      <c r="B77" s="98">
        <v>18</v>
      </c>
      <c r="C77" s="101">
        <v>55</v>
      </c>
      <c r="D77" s="105">
        <f>F34</f>
        <v>84.753239730235052</v>
      </c>
      <c r="E77" s="106">
        <f>F35</f>
        <v>-0.17027250078373204</v>
      </c>
      <c r="F77" s="107">
        <f>F36</f>
        <v>0.93513697760648218</v>
      </c>
      <c r="G77" s="100">
        <f>F37</f>
        <v>85.111944461233705</v>
      </c>
      <c r="H77" s="100">
        <f>F38</f>
        <v>0.42323424112210017</v>
      </c>
      <c r="I77" s="97">
        <f>F39</f>
        <v>0.86039980087322365</v>
      </c>
    </row>
    <row r="78" spans="1:9">
      <c r="A78" s="65">
        <v>26</v>
      </c>
      <c r="B78" s="98">
        <v>18</v>
      </c>
      <c r="C78" s="101">
        <v>56</v>
      </c>
      <c r="D78" s="108">
        <f>G34</f>
        <v>6.3075571650284861</v>
      </c>
      <c r="E78" s="100">
        <f>G35</f>
        <v>-0.38078789277876973</v>
      </c>
      <c r="F78" s="97">
        <f>G36</f>
        <v>0.13123612362298864</v>
      </c>
      <c r="G78" s="100">
        <f>G37</f>
        <v>5.8013682579849197</v>
      </c>
      <c r="H78" s="100">
        <f>G38</f>
        <v>-0.50618890704356634</v>
      </c>
      <c r="I78" s="97">
        <f>G39</f>
        <v>6.3682716560858697E-3</v>
      </c>
    </row>
    <row r="79" spans="1:9">
      <c r="A79" s="65">
        <v>26</v>
      </c>
      <c r="B79" s="98">
        <v>19</v>
      </c>
      <c r="C79" s="99">
        <v>51</v>
      </c>
      <c r="D79" s="100">
        <f>C40</f>
        <v>18.972419356308528</v>
      </c>
      <c r="E79" s="103">
        <f>C41</f>
        <v>0.93237417917185106</v>
      </c>
      <c r="F79" s="104">
        <f>C42</f>
        <v>1.1515976157661848E-2</v>
      </c>
      <c r="G79" s="100">
        <f>C43</f>
        <v>19.892096622975195</v>
      </c>
      <c r="H79" s="100">
        <f>C44</f>
        <v>0.91967726666666749</v>
      </c>
      <c r="I79" s="97">
        <f>C45</f>
        <v>1.7350052668957925E-2</v>
      </c>
    </row>
    <row r="80" spans="1:9">
      <c r="A80" s="65">
        <v>26</v>
      </c>
      <c r="B80" s="98">
        <v>19</v>
      </c>
      <c r="C80" s="99">
        <v>52</v>
      </c>
      <c r="D80" s="100">
        <f>D40</f>
        <v>52.106137566137583</v>
      </c>
      <c r="E80" s="100">
        <f>D41</f>
        <v>-1.3643589879407472</v>
      </c>
      <c r="F80" s="104">
        <f>D42</f>
        <v>0.81682870748904857</v>
      </c>
      <c r="G80" s="100">
        <f>D43</f>
        <v>62.404754894054193</v>
      </c>
      <c r="H80" s="100">
        <f>D44</f>
        <v>19.764691471987767</v>
      </c>
      <c r="I80" s="97">
        <f>D45</f>
        <v>0.29569810114459738</v>
      </c>
    </row>
    <row r="81" spans="1:9">
      <c r="A81" s="65">
        <v>26</v>
      </c>
      <c r="B81" s="98">
        <v>19</v>
      </c>
      <c r="C81" s="99">
        <v>54</v>
      </c>
      <c r="D81" s="100">
        <f>E40</f>
        <v>95.457042143801203</v>
      </c>
      <c r="E81" s="103">
        <f>E41</f>
        <v>0.67536137436278976</v>
      </c>
      <c r="F81" s="104">
        <f>E42</f>
        <v>0.77300603703563064</v>
      </c>
      <c r="G81" s="100">
        <f>E43</f>
        <v>96.598080976929253</v>
      </c>
      <c r="H81" s="100">
        <f>E44</f>
        <v>1.1410388331280501</v>
      </c>
      <c r="I81" s="97">
        <f>E45</f>
        <v>0.2095839391352633</v>
      </c>
    </row>
    <row r="82" spans="1:9">
      <c r="A82" s="65">
        <v>26</v>
      </c>
      <c r="B82" s="98">
        <v>19</v>
      </c>
      <c r="C82" s="101">
        <v>55</v>
      </c>
      <c r="D82" s="105">
        <f>F40</f>
        <v>86.368250083481911</v>
      </c>
      <c r="E82" s="106">
        <f>F41</f>
        <v>0.67536137436278976</v>
      </c>
      <c r="F82" s="107">
        <f>F42</f>
        <v>0.77300603703563064</v>
      </c>
      <c r="G82" s="100">
        <f>F43</f>
        <v>83.388113075395438</v>
      </c>
      <c r="H82" s="100">
        <f>F44</f>
        <v>-3.4505006240209015</v>
      </c>
      <c r="I82" s="97">
        <f>F45</f>
        <v>0.33045337499497007</v>
      </c>
    </row>
    <row r="83" spans="1:9">
      <c r="A83" s="65">
        <v>26</v>
      </c>
      <c r="B83" s="98">
        <v>19</v>
      </c>
      <c r="C83" s="101">
        <v>56</v>
      </c>
      <c r="D83" s="108">
        <f>G40</f>
        <v>5.7705781401613949</v>
      </c>
      <c r="E83" s="106">
        <f>G41</f>
        <v>-5.4666308476476938E-2</v>
      </c>
      <c r="F83" s="109">
        <f>G42</f>
        <v>0.7570174508784796</v>
      </c>
      <c r="G83" s="100">
        <f>G43</f>
        <v>5.6322083254448776</v>
      </c>
      <c r="H83" s="100">
        <f>G44</f>
        <v>-0.13836981471651733</v>
      </c>
      <c r="I83" s="97">
        <f>G45</f>
        <v>0.55215254825499871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O83"/>
  <sheetViews>
    <sheetView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21.565482590065447</v>
      </c>
      <c r="D4" s="31">
        <v>93.898888888888834</v>
      </c>
      <c r="E4" s="30">
        <v>76.381065772523755</v>
      </c>
      <c r="F4" s="30">
        <v>96.049613195871601</v>
      </c>
      <c r="G4" s="150">
        <v>93.898888888888834</v>
      </c>
    </row>
    <row r="5" spans="1:8" ht="18.75">
      <c r="A5" s="178"/>
      <c r="B5" s="21" t="s">
        <v>17</v>
      </c>
      <c r="C5" s="131">
        <v>0.10330354251011795</v>
      </c>
      <c r="D5" s="33">
        <v>-4.318586789554522</v>
      </c>
      <c r="E5" s="34">
        <v>-0.19850658368934099</v>
      </c>
      <c r="F5" s="34">
        <v>-0.19850658368934099</v>
      </c>
      <c r="G5" s="151">
        <v>-4.318586789554522</v>
      </c>
    </row>
    <row r="6" spans="1:8">
      <c r="A6" s="178"/>
      <c r="B6" s="22" t="s">
        <v>18</v>
      </c>
      <c r="C6" s="133">
        <v>2.6124355431280326E-4</v>
      </c>
      <c r="D6" s="37">
        <v>0.63157215298445768</v>
      </c>
      <c r="E6" s="37">
        <v>0.83302302180359722</v>
      </c>
      <c r="F6" s="37">
        <v>0.83302302180359722</v>
      </c>
      <c r="G6" s="134">
        <v>0.63157215298445768</v>
      </c>
    </row>
    <row r="7" spans="1:8" ht="18.75">
      <c r="A7" s="178"/>
      <c r="B7" s="23" t="s">
        <v>19</v>
      </c>
      <c r="C7" s="78">
        <v>22.606676240065447</v>
      </c>
      <c r="D7" s="38">
        <v>107.44946521745155</v>
      </c>
      <c r="E7" s="112">
        <v>67.722022640427099</v>
      </c>
      <c r="F7" s="10">
        <v>97.748283249892424</v>
      </c>
      <c r="G7" s="113">
        <v>4.7401569264416965</v>
      </c>
    </row>
    <row r="8" spans="1:8" ht="18.75">
      <c r="A8" s="178"/>
      <c r="B8" s="21" t="s">
        <v>20</v>
      </c>
      <c r="C8" s="135">
        <v>1.0411936500000003</v>
      </c>
      <c r="D8" s="40">
        <v>14.431029471069879</v>
      </c>
      <c r="E8" s="136">
        <v>-8.6590431320966559</v>
      </c>
      <c r="F8" s="10">
        <v>1.7685339872808983</v>
      </c>
      <c r="G8" s="137">
        <v>-0.40623880722893535</v>
      </c>
    </row>
    <row r="9" spans="1:8" ht="16.5" thickBot="1">
      <c r="A9" s="179"/>
      <c r="B9" s="25" t="s">
        <v>21</v>
      </c>
      <c r="C9" s="146">
        <v>2.0002990692148909E-2</v>
      </c>
      <c r="D9" s="139">
        <v>0.40552072173793663</v>
      </c>
      <c r="E9" s="147">
        <v>2.674850744208895E-2</v>
      </c>
      <c r="F9" s="47">
        <v>0.43737151174143019</v>
      </c>
      <c r="G9" s="141">
        <v>0.19073977367316719</v>
      </c>
    </row>
    <row r="10" spans="1:8" ht="18.75">
      <c r="A10" s="180" t="s">
        <v>2</v>
      </c>
      <c r="B10" s="20" t="s">
        <v>16</v>
      </c>
      <c r="C10" s="129">
        <v>12.024419098387979</v>
      </c>
      <c r="D10" s="31">
        <v>82.0865079365079</v>
      </c>
      <c r="E10" s="30">
        <v>97.152322811151436</v>
      </c>
      <c r="F10" s="30">
        <v>85.777993276729617</v>
      </c>
      <c r="G10" s="150">
        <v>82.0865079365079</v>
      </c>
    </row>
    <row r="11" spans="1:8" ht="18.75">
      <c r="A11" s="178"/>
      <c r="B11" s="21" t="s">
        <v>17</v>
      </c>
      <c r="C11" s="131">
        <v>0.50639086926573462</v>
      </c>
      <c r="D11" s="33">
        <v>11.455956353620422</v>
      </c>
      <c r="E11" s="34">
        <v>3.519862299822397</v>
      </c>
      <c r="F11" s="34">
        <v>3.519862299822397</v>
      </c>
      <c r="G11" s="151">
        <v>11.455956353620422</v>
      </c>
    </row>
    <row r="12" spans="1:8">
      <c r="A12" s="178"/>
      <c r="B12" s="22" t="s">
        <v>18</v>
      </c>
      <c r="C12" s="133">
        <v>7.3748060269916552E-2</v>
      </c>
      <c r="D12" s="37">
        <v>0.1381262239160429</v>
      </c>
      <c r="E12" s="37">
        <v>7.0266711764116502E-2</v>
      </c>
      <c r="F12" s="37">
        <v>7.0266711764116502E-2</v>
      </c>
      <c r="G12" s="134">
        <v>0.1381262239160429</v>
      </c>
    </row>
    <row r="13" spans="1:8" ht="18.75">
      <c r="A13" s="178"/>
      <c r="B13" s="23" t="s">
        <v>19</v>
      </c>
      <c r="C13" s="78">
        <v>13.77153399838798</v>
      </c>
      <c r="D13" s="38">
        <v>75.667399001253372</v>
      </c>
      <c r="E13" s="112">
        <v>98.013842380054811</v>
      </c>
      <c r="F13" s="10">
        <v>83.195851981978663</v>
      </c>
      <c r="G13" s="113">
        <v>5.7141997193544585</v>
      </c>
    </row>
    <row r="14" spans="1:8" ht="18.75">
      <c r="A14" s="178"/>
      <c r="B14" s="21" t="s">
        <v>20</v>
      </c>
      <c r="C14" s="135">
        <v>1.7471149000000015</v>
      </c>
      <c r="D14" s="10">
        <v>-7.8199317970982145</v>
      </c>
      <c r="E14" s="11">
        <v>0.86151956890337544</v>
      </c>
      <c r="F14" s="10">
        <v>-3.0102607861443818</v>
      </c>
      <c r="G14" s="137">
        <v>-0.1174023920017877</v>
      </c>
    </row>
    <row r="15" spans="1:8" ht="16.5" thickBot="1">
      <c r="A15" s="181"/>
      <c r="B15" s="26" t="s">
        <v>21</v>
      </c>
      <c r="C15" s="149">
        <v>2.1727160417809333E-5</v>
      </c>
      <c r="D15" s="48">
        <v>0.46454285730443701</v>
      </c>
      <c r="E15" s="121">
        <v>0.47802101850424861</v>
      </c>
      <c r="F15" s="43">
        <v>0.35579073377745407</v>
      </c>
      <c r="G15" s="143">
        <v>0.59110954616335731</v>
      </c>
    </row>
    <row r="16" spans="1:8" ht="18.75">
      <c r="A16" s="177" t="s">
        <v>3</v>
      </c>
      <c r="B16" s="24" t="s">
        <v>16</v>
      </c>
      <c r="C16" s="144">
        <v>1.8233015869770732</v>
      </c>
      <c r="D16" s="45">
        <v>47.121111111111112</v>
      </c>
      <c r="E16" s="44">
        <v>85.898546619564343</v>
      </c>
      <c r="F16" s="44">
        <v>74.57005043921589</v>
      </c>
      <c r="G16" s="152">
        <v>47.121111111111112</v>
      </c>
    </row>
    <row r="17" spans="1:7" ht="18.75">
      <c r="A17" s="178"/>
      <c r="B17" s="21" t="s">
        <v>17</v>
      </c>
      <c r="C17" s="131">
        <v>1.2853350279732672</v>
      </c>
      <c r="D17" s="33">
        <v>3.7184914455214795</v>
      </c>
      <c r="E17" s="34">
        <v>4.0952846485347463</v>
      </c>
      <c r="F17" s="34">
        <v>4.0952846485347463</v>
      </c>
      <c r="G17" s="151">
        <v>3.7184914455214795</v>
      </c>
    </row>
    <row r="18" spans="1:7">
      <c r="A18" s="178"/>
      <c r="B18" s="22" t="s">
        <v>18</v>
      </c>
      <c r="C18" s="133">
        <v>1.4336338268675657E-2</v>
      </c>
      <c r="D18" s="37">
        <v>0.50213798141530441</v>
      </c>
      <c r="E18" s="37">
        <v>0.16369899502731733</v>
      </c>
      <c r="F18" s="37">
        <v>0.16369899502731733</v>
      </c>
      <c r="G18" s="134">
        <v>0.50213798141530441</v>
      </c>
    </row>
    <row r="19" spans="1:7" ht="18.75">
      <c r="A19" s="178"/>
      <c r="B19" s="23" t="s">
        <v>19</v>
      </c>
      <c r="C19" s="78">
        <v>3.2003384869770732</v>
      </c>
      <c r="D19" s="38">
        <v>55.227126049002123</v>
      </c>
      <c r="E19" s="112">
        <v>88.782901278203838</v>
      </c>
      <c r="F19" s="10">
        <v>79.743162938268711</v>
      </c>
      <c r="G19" s="113">
        <v>3.5939750546168625</v>
      </c>
    </row>
    <row r="20" spans="1:7" ht="18.75">
      <c r="A20" s="178"/>
      <c r="B20" s="21" t="s">
        <v>20</v>
      </c>
      <c r="C20" s="135">
        <v>1.3770369000000002</v>
      </c>
      <c r="D20" s="10">
        <v>17.202512306590361</v>
      </c>
      <c r="E20" s="11">
        <v>2.884354658639495</v>
      </c>
      <c r="F20" s="10">
        <v>6.9372522461541939</v>
      </c>
      <c r="G20" s="137">
        <v>0.36044352359628373</v>
      </c>
    </row>
    <row r="21" spans="1:7" ht="16.5" thickBot="1">
      <c r="A21" s="179"/>
      <c r="B21" s="25" t="s">
        <v>21</v>
      </c>
      <c r="C21" s="146">
        <v>1.1314841813404612E-2</v>
      </c>
      <c r="D21" s="46">
        <v>0.13324485187547652</v>
      </c>
      <c r="E21" s="89">
        <v>0.11869477941424778</v>
      </c>
      <c r="F21" s="47">
        <v>0.11968785605922672</v>
      </c>
      <c r="G21" s="141">
        <v>6.9415655107866306E-2</v>
      </c>
    </row>
    <row r="22" spans="1:7" ht="18.75">
      <c r="A22" s="180" t="s">
        <v>4</v>
      </c>
      <c r="B22" s="20" t="s">
        <v>16</v>
      </c>
      <c r="C22" s="129">
        <v>-3.5755323551896643</v>
      </c>
      <c r="D22" s="31">
        <v>137.96952380952382</v>
      </c>
      <c r="E22" s="30">
        <v>88.497389018717385</v>
      </c>
      <c r="F22" s="30">
        <v>97.602510706638043</v>
      </c>
      <c r="G22" s="150">
        <v>137.96952380952382</v>
      </c>
    </row>
    <row r="23" spans="1:7" ht="18.75">
      <c r="A23" s="178"/>
      <c r="B23" s="21" t="s">
        <v>17</v>
      </c>
      <c r="C23" s="131">
        <v>0.25912455840199722</v>
      </c>
      <c r="D23" s="68">
        <v>7.727231315217983</v>
      </c>
      <c r="E23" s="34">
        <v>-0.83511652568092332</v>
      </c>
      <c r="F23" s="34">
        <v>-0.83511652568092332</v>
      </c>
      <c r="G23" s="153">
        <v>7.727231315217983</v>
      </c>
    </row>
    <row r="24" spans="1:7">
      <c r="A24" s="178"/>
      <c r="B24" s="22" t="s">
        <v>18</v>
      </c>
      <c r="C24" s="133">
        <v>0.53587063857754957</v>
      </c>
      <c r="D24" s="37">
        <v>0.44504495021716228</v>
      </c>
      <c r="E24" s="37">
        <v>0.18115193157383946</v>
      </c>
      <c r="F24" s="37">
        <v>0.18115193157383946</v>
      </c>
      <c r="G24" s="134">
        <v>0.44504495021716228</v>
      </c>
    </row>
    <row r="25" spans="1:7" ht="18.75">
      <c r="A25" s="178"/>
      <c r="B25" s="23" t="s">
        <v>19</v>
      </c>
      <c r="C25" s="78">
        <v>-1.7293310774118869</v>
      </c>
      <c r="D25" s="38">
        <v>159.52500578137713</v>
      </c>
      <c r="E25" s="112">
        <v>89.366971161813893</v>
      </c>
      <c r="F25" s="10">
        <v>97.434135935372908</v>
      </c>
      <c r="G25" s="113">
        <v>25.220615645727964</v>
      </c>
    </row>
    <row r="26" spans="1:7" ht="18.75">
      <c r="A26" s="178"/>
      <c r="B26" s="21" t="s">
        <v>20</v>
      </c>
      <c r="C26" s="135">
        <v>1.8462012777777774</v>
      </c>
      <c r="D26" s="10">
        <v>15.623364766853953</v>
      </c>
      <c r="E26" s="11">
        <v>0.86958214309650828</v>
      </c>
      <c r="F26" s="10">
        <v>-0.17251069674960676</v>
      </c>
      <c r="G26" s="115">
        <v>0.19046287333391021</v>
      </c>
    </row>
    <row r="27" spans="1:7" ht="16.5" thickBot="1">
      <c r="A27" s="181"/>
      <c r="B27" s="26" t="s">
        <v>21</v>
      </c>
      <c r="C27" s="149">
        <v>5.7390654937880927E-4</v>
      </c>
      <c r="D27" s="48">
        <v>6.3419205290924902E-2</v>
      </c>
      <c r="E27" s="121">
        <v>0.6835128144238547</v>
      </c>
      <c r="F27" s="43">
        <v>0.80099218817051088</v>
      </c>
      <c r="G27" s="122">
        <v>0.76970477165726081</v>
      </c>
    </row>
    <row r="28" spans="1:7" ht="18.75">
      <c r="A28" s="177" t="s">
        <v>5</v>
      </c>
      <c r="B28" s="24" t="s">
        <v>16</v>
      </c>
      <c r="C28" s="144">
        <v>8.7213374292846417</v>
      </c>
      <c r="D28" s="45">
        <v>129.42730158730157</v>
      </c>
      <c r="E28" s="44">
        <v>96.777158682775593</v>
      </c>
      <c r="F28" s="44">
        <v>98.027123817573752</v>
      </c>
      <c r="G28" s="152">
        <v>129.42730158730157</v>
      </c>
    </row>
    <row r="29" spans="1:7" ht="18.75">
      <c r="A29" s="178"/>
      <c r="B29" s="21" t="s">
        <v>17</v>
      </c>
      <c r="C29" s="131">
        <v>0.51531918883081551</v>
      </c>
      <c r="D29" s="68">
        <v>8.2984056358917311</v>
      </c>
      <c r="E29" s="34">
        <v>0.11159822279311354</v>
      </c>
      <c r="F29" s="34">
        <v>0.11159822279311354</v>
      </c>
      <c r="G29" s="153">
        <v>8.2984056358917311</v>
      </c>
    </row>
    <row r="30" spans="1:7">
      <c r="A30" s="178"/>
      <c r="B30" s="22" t="s">
        <v>18</v>
      </c>
      <c r="C30" s="133">
        <v>3.8182268024548341E-2</v>
      </c>
      <c r="D30" s="37">
        <v>0.26937650719388428</v>
      </c>
      <c r="E30" s="49">
        <v>0.83442845766293416</v>
      </c>
      <c r="F30" s="49">
        <v>0.83442845766293416</v>
      </c>
      <c r="G30" s="134">
        <v>0.26937650719388428</v>
      </c>
    </row>
    <row r="31" spans="1:7" ht="18.75">
      <c r="A31" s="178"/>
      <c r="B31" s="23" t="s">
        <v>19</v>
      </c>
      <c r="C31" s="78">
        <v>9.5155904848401942</v>
      </c>
      <c r="D31" s="38">
        <v>131.84142201473392</v>
      </c>
      <c r="E31" s="112">
        <v>92.159950457267996</v>
      </c>
      <c r="F31" s="10">
        <v>98.258555701037622</v>
      </c>
      <c r="G31" s="113">
        <v>32.574314386902472</v>
      </c>
    </row>
    <row r="32" spans="1:7" ht="18.75">
      <c r="A32" s="178"/>
      <c r="B32" s="21" t="s">
        <v>20</v>
      </c>
      <c r="C32" s="135">
        <v>0.79425305555555248</v>
      </c>
      <c r="D32" s="10">
        <v>1.8652327583326602</v>
      </c>
      <c r="E32" s="11">
        <v>-4.6172082255075964</v>
      </c>
      <c r="F32" s="10">
        <v>0.23608963973539127</v>
      </c>
      <c r="G32" s="115">
        <v>-1.5817487293377752</v>
      </c>
    </row>
    <row r="33" spans="1:15" ht="16.5" thickBot="1">
      <c r="A33" s="179"/>
      <c r="B33" s="25" t="s">
        <v>21</v>
      </c>
      <c r="C33" s="146">
        <v>2.5397033471702885E-3</v>
      </c>
      <c r="D33" s="46">
        <v>0.79768047099257233</v>
      </c>
      <c r="E33" s="117">
        <v>5.1642209699915417E-3</v>
      </c>
      <c r="F33" s="47">
        <v>0.74525154651179681</v>
      </c>
      <c r="G33" s="118">
        <v>1.6486677812129914E-2</v>
      </c>
    </row>
    <row r="34" spans="1:15" ht="18.75">
      <c r="A34" s="177" t="s">
        <v>6</v>
      </c>
      <c r="B34" s="24" t="s">
        <v>16</v>
      </c>
      <c r="C34" s="129">
        <v>19.622492065883815</v>
      </c>
      <c r="D34" s="31">
        <v>65.441111111111098</v>
      </c>
      <c r="E34" s="30">
        <v>83.617960839717909</v>
      </c>
      <c r="F34" s="30">
        <v>85.077457791016528</v>
      </c>
      <c r="G34" s="150">
        <v>65.441111111111098</v>
      </c>
    </row>
    <row r="35" spans="1:15" ht="18.75">
      <c r="A35" s="178"/>
      <c r="B35" s="21" t="s">
        <v>17</v>
      </c>
      <c r="C35" s="131">
        <v>0.52523439245598846</v>
      </c>
      <c r="D35" s="33">
        <v>-4.0686371100164216</v>
      </c>
      <c r="E35" s="34">
        <v>1.3915290930307933</v>
      </c>
      <c r="F35" s="34">
        <v>1.3915290930307933</v>
      </c>
      <c r="G35" s="151">
        <v>-4.0686371100164216</v>
      </c>
    </row>
    <row r="36" spans="1:15">
      <c r="A36" s="178"/>
      <c r="B36" s="22" t="s">
        <v>18</v>
      </c>
      <c r="C36" s="133">
        <v>0.17188211731321951</v>
      </c>
      <c r="D36" s="37">
        <v>0.55700895617572521</v>
      </c>
      <c r="E36" s="37">
        <v>0.62069307035126808</v>
      </c>
      <c r="F36" s="37">
        <v>0.62069307035126808</v>
      </c>
      <c r="G36" s="134">
        <v>0.55700895617572521</v>
      </c>
    </row>
    <row r="37" spans="1:15" ht="18.75">
      <c r="A37" s="178"/>
      <c r="B37" s="23" t="s">
        <v>19</v>
      </c>
      <c r="C37" s="78">
        <v>20.673950765883816</v>
      </c>
      <c r="D37" s="38">
        <v>68.08035075617434</v>
      </c>
      <c r="E37" s="112">
        <v>78.254582987918525</v>
      </c>
      <c r="F37" s="10">
        <v>83.072186172297876</v>
      </c>
      <c r="G37" s="113">
        <v>5.6996540260289255</v>
      </c>
    </row>
    <row r="38" spans="1:15" ht="18.75">
      <c r="A38" s="178"/>
      <c r="B38" s="21" t="s">
        <v>20</v>
      </c>
      <c r="C38" s="135">
        <v>1.0514587000000013</v>
      </c>
      <c r="D38" s="10">
        <v>4.0329994406453951</v>
      </c>
      <c r="E38" s="11">
        <v>-5.3633778517993846</v>
      </c>
      <c r="F38" s="10">
        <v>-2.3569952262141949</v>
      </c>
      <c r="G38" s="115">
        <v>-0.62972715698736881</v>
      </c>
    </row>
    <row r="39" spans="1:15" ht="16.5" thickBot="1">
      <c r="A39" s="179"/>
      <c r="B39" s="25" t="s">
        <v>21</v>
      </c>
      <c r="C39" s="149">
        <v>4.266021611834021E-3</v>
      </c>
      <c r="D39" s="48">
        <v>0.72921845633115967</v>
      </c>
      <c r="E39" s="121">
        <v>1.4795139576002024E-2</v>
      </c>
      <c r="F39" s="43">
        <v>0.45825705533059602</v>
      </c>
      <c r="G39" s="122">
        <v>6.9018866334911132E-3</v>
      </c>
    </row>
    <row r="40" spans="1:15" ht="18.75">
      <c r="A40" s="180" t="s">
        <v>7</v>
      </c>
      <c r="B40" s="20" t="s">
        <v>16</v>
      </c>
      <c r="C40" s="144">
        <v>21.947350228334532</v>
      </c>
      <c r="D40" s="45">
        <v>55.840476190476146</v>
      </c>
      <c r="E40" s="44">
        <v>94.626116141457985</v>
      </c>
      <c r="F40" s="44">
        <v>84.364912315656952</v>
      </c>
      <c r="G40" s="152">
        <v>55.840476190476146</v>
      </c>
    </row>
    <row r="41" spans="1:15" ht="18.75">
      <c r="A41" s="178"/>
      <c r="B41" s="21" t="s">
        <v>17</v>
      </c>
      <c r="C41" s="131">
        <v>0.96485068359582937</v>
      </c>
      <c r="D41" s="33">
        <v>-2.2287727104189665</v>
      </c>
      <c r="E41" s="34">
        <v>0.8339483598438584</v>
      </c>
      <c r="F41" s="34">
        <v>0.8339483598438584</v>
      </c>
      <c r="G41" s="151">
        <v>-2.2287727104189665</v>
      </c>
    </row>
    <row r="42" spans="1:15">
      <c r="A42" s="178"/>
      <c r="B42" s="22" t="s">
        <v>18</v>
      </c>
      <c r="C42" s="133">
        <v>1.6594253962800443E-2</v>
      </c>
      <c r="D42" s="37">
        <v>0.7715646739118327</v>
      </c>
      <c r="E42" s="49">
        <v>0.79521615459259831</v>
      </c>
      <c r="F42" s="49">
        <v>0.79521615459259831</v>
      </c>
      <c r="G42" s="134">
        <v>0.7715646739118327</v>
      </c>
    </row>
    <row r="43" spans="1:15" ht="18.75">
      <c r="A43" s="178"/>
      <c r="B43" s="23" t="s">
        <v>19</v>
      </c>
      <c r="C43" s="78">
        <v>22.864138561667858</v>
      </c>
      <c r="D43" s="38">
        <v>60.864740695727015</v>
      </c>
      <c r="E43" s="112">
        <v>96.018497543191003</v>
      </c>
      <c r="F43" s="10">
        <v>83.277212886535992</v>
      </c>
      <c r="G43" s="113">
        <v>5.5755547141210515</v>
      </c>
    </row>
    <row r="44" spans="1:15" ht="18.75">
      <c r="A44" s="178"/>
      <c r="B44" s="21" t="s">
        <v>20</v>
      </c>
      <c r="C44" s="135">
        <v>0.91678833333332577</v>
      </c>
      <c r="D44" s="10">
        <v>8.9975316258276852</v>
      </c>
      <c r="E44" s="11">
        <v>1.3923814017330187</v>
      </c>
      <c r="F44" s="10">
        <v>-1.289279392659435</v>
      </c>
      <c r="G44" s="137">
        <v>-4.9676566086898077E-4</v>
      </c>
    </row>
    <row r="45" spans="1:15" ht="16.5" thickBot="1">
      <c r="A45" s="179"/>
      <c r="B45" s="25" t="s">
        <v>21</v>
      </c>
      <c r="C45" s="149">
        <v>3.7004214322099778E-2</v>
      </c>
      <c r="D45" s="48">
        <v>0.65881820470776864</v>
      </c>
      <c r="E45" s="121">
        <v>0.22583823367588418</v>
      </c>
      <c r="F45" s="43">
        <v>0.75754812346584255</v>
      </c>
      <c r="G45" s="143">
        <v>0.99852671352414391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21.565482590065447</v>
      </c>
      <c r="E49" s="100">
        <f>C5</f>
        <v>0.10330354251011795</v>
      </c>
      <c r="F49" s="97">
        <f>C6</f>
        <v>2.6124355431280326E-4</v>
      </c>
      <c r="G49" s="100">
        <f>C7</f>
        <v>22.606676240065447</v>
      </c>
      <c r="H49" s="100">
        <f>C8</f>
        <v>1.0411936500000003</v>
      </c>
      <c r="I49" s="97">
        <f>C9</f>
        <v>2.0002990692148909E-2</v>
      </c>
    </row>
    <row r="50" spans="1:9">
      <c r="A50" s="65">
        <v>26</v>
      </c>
      <c r="B50" s="98">
        <v>13</v>
      </c>
      <c r="C50" s="99">
        <v>52</v>
      </c>
      <c r="D50" s="100">
        <f>D4</f>
        <v>93.898888888888834</v>
      </c>
      <c r="E50" s="100">
        <f>D5</f>
        <v>-4.318586789554522</v>
      </c>
      <c r="F50" s="97">
        <f>D6</f>
        <v>0.63157215298445768</v>
      </c>
      <c r="G50" s="100">
        <f>D7</f>
        <v>107.44946521745155</v>
      </c>
      <c r="H50" s="100">
        <f>D8</f>
        <v>14.431029471069879</v>
      </c>
      <c r="I50" s="97">
        <f>D9</f>
        <v>0.40552072173793663</v>
      </c>
    </row>
    <row r="51" spans="1:9">
      <c r="A51" s="65">
        <v>26</v>
      </c>
      <c r="B51" s="98">
        <v>13</v>
      </c>
      <c r="C51" s="99">
        <v>54</v>
      </c>
      <c r="D51" s="100">
        <f>E4</f>
        <v>76.381065772523755</v>
      </c>
      <c r="E51" s="100">
        <f>E5</f>
        <v>-0.19850658368934099</v>
      </c>
      <c r="F51" s="97">
        <f>E6</f>
        <v>0.83302302180359722</v>
      </c>
      <c r="G51" s="100">
        <f>E7</f>
        <v>67.722022640427099</v>
      </c>
      <c r="H51" s="100">
        <f>E8</f>
        <v>-8.6590431320966559</v>
      </c>
      <c r="I51" s="97">
        <f>E9</f>
        <v>2.674850744208895E-2</v>
      </c>
    </row>
    <row r="52" spans="1:9">
      <c r="A52" s="65">
        <v>26</v>
      </c>
      <c r="B52" s="98">
        <v>13</v>
      </c>
      <c r="C52" s="101">
        <v>55</v>
      </c>
      <c r="D52" s="100">
        <f>F4</f>
        <v>96.049613195871601</v>
      </c>
      <c r="E52" s="100">
        <f>F5</f>
        <v>-0.19850658368934099</v>
      </c>
      <c r="F52" s="97">
        <f>F6</f>
        <v>0.83302302180359722</v>
      </c>
      <c r="G52" s="100">
        <f>F7</f>
        <v>97.748283249892424</v>
      </c>
      <c r="H52" s="100">
        <f>F8</f>
        <v>1.7685339872808983</v>
      </c>
      <c r="I52" s="97">
        <f>F9</f>
        <v>0.43737151174143019</v>
      </c>
    </row>
    <row r="53" spans="1:9">
      <c r="A53" s="65">
        <v>26</v>
      </c>
      <c r="B53" s="98">
        <v>13</v>
      </c>
      <c r="C53" s="101">
        <v>56</v>
      </c>
      <c r="D53" s="100">
        <f>G4</f>
        <v>93.898888888888834</v>
      </c>
      <c r="E53" s="100">
        <f>G5</f>
        <v>-4.318586789554522</v>
      </c>
      <c r="F53" s="97">
        <f>G6</f>
        <v>0.63157215298445768</v>
      </c>
      <c r="G53" s="100">
        <f>G7</f>
        <v>4.7401569264416965</v>
      </c>
      <c r="H53" s="100">
        <f>G8</f>
        <v>-0.40623880722893535</v>
      </c>
      <c r="I53" s="97">
        <f>G9</f>
        <v>0.19073977367316719</v>
      </c>
    </row>
    <row r="54" spans="1:9">
      <c r="A54" s="65">
        <v>26</v>
      </c>
      <c r="B54" s="98">
        <v>14</v>
      </c>
      <c r="C54" s="99">
        <v>51</v>
      </c>
      <c r="D54" s="100">
        <f>C10</f>
        <v>12.024419098387979</v>
      </c>
      <c r="E54" s="100">
        <f>C11</f>
        <v>0.50639086926573462</v>
      </c>
      <c r="F54" s="97">
        <f>C12</f>
        <v>7.3748060269916552E-2</v>
      </c>
      <c r="G54" s="100">
        <f>C13</f>
        <v>13.77153399838798</v>
      </c>
      <c r="H54" s="100">
        <f>C14</f>
        <v>1.7471149000000015</v>
      </c>
      <c r="I54" s="97">
        <f>C15</f>
        <v>2.1727160417809333E-5</v>
      </c>
    </row>
    <row r="55" spans="1:9">
      <c r="A55" s="65">
        <v>26</v>
      </c>
      <c r="B55" s="98">
        <v>14</v>
      </c>
      <c r="C55" s="99">
        <v>52</v>
      </c>
      <c r="D55" s="100">
        <f>D10</f>
        <v>82.0865079365079</v>
      </c>
      <c r="E55" s="100">
        <f>D11</f>
        <v>11.455956353620422</v>
      </c>
      <c r="F55" s="97">
        <f>D12</f>
        <v>0.1381262239160429</v>
      </c>
      <c r="G55" s="100">
        <f>D13</f>
        <v>75.667399001253372</v>
      </c>
      <c r="H55" s="100">
        <f>D14</f>
        <v>-7.8199317970982145</v>
      </c>
      <c r="I55" s="97">
        <f>D15</f>
        <v>0.46454285730443701</v>
      </c>
    </row>
    <row r="56" spans="1:9">
      <c r="A56" s="65">
        <v>26</v>
      </c>
      <c r="B56" s="98">
        <v>14</v>
      </c>
      <c r="C56" s="99">
        <v>54</v>
      </c>
      <c r="D56" s="100">
        <f>E10</f>
        <v>97.152322811151436</v>
      </c>
      <c r="E56" s="100">
        <f>E11</f>
        <v>3.519862299822397</v>
      </c>
      <c r="F56" s="97">
        <f>E12</f>
        <v>7.0266711764116502E-2</v>
      </c>
      <c r="G56" s="100">
        <f>E13</f>
        <v>98.013842380054811</v>
      </c>
      <c r="H56" s="100">
        <f>E14</f>
        <v>0.86151956890337544</v>
      </c>
      <c r="I56" s="97">
        <f>E15</f>
        <v>0.47802101850424861</v>
      </c>
    </row>
    <row r="57" spans="1:9">
      <c r="A57" s="65">
        <v>26</v>
      </c>
      <c r="B57" s="98">
        <v>14</v>
      </c>
      <c r="C57" s="101">
        <v>55</v>
      </c>
      <c r="D57" s="100">
        <f>F10</f>
        <v>85.777993276729617</v>
      </c>
      <c r="E57" s="100">
        <f>F11</f>
        <v>3.519862299822397</v>
      </c>
      <c r="F57" s="97">
        <f>F12</f>
        <v>7.0266711764116502E-2</v>
      </c>
      <c r="G57" s="100">
        <f>F13</f>
        <v>83.195851981978663</v>
      </c>
      <c r="H57" s="100">
        <f>F14</f>
        <v>-3.0102607861443818</v>
      </c>
      <c r="I57" s="97">
        <f>F15</f>
        <v>0.35579073377745407</v>
      </c>
    </row>
    <row r="58" spans="1:9">
      <c r="A58" s="65">
        <v>26</v>
      </c>
      <c r="B58" s="98">
        <v>14</v>
      </c>
      <c r="C58" s="101">
        <v>56</v>
      </c>
      <c r="D58" s="100">
        <f>G10</f>
        <v>82.0865079365079</v>
      </c>
      <c r="E58" s="100">
        <f>G11</f>
        <v>11.455956353620422</v>
      </c>
      <c r="F58" s="97">
        <f>G12</f>
        <v>0.1381262239160429</v>
      </c>
      <c r="G58" s="100">
        <f>G13</f>
        <v>5.7141997193544585</v>
      </c>
      <c r="H58" s="100">
        <f>G14</f>
        <v>-0.1174023920017877</v>
      </c>
      <c r="I58" s="97">
        <f>G15</f>
        <v>0.59110954616335731</v>
      </c>
    </row>
    <row r="59" spans="1:9">
      <c r="A59" s="65">
        <v>26</v>
      </c>
      <c r="B59" s="98">
        <v>15</v>
      </c>
      <c r="C59" s="99">
        <v>51</v>
      </c>
      <c r="D59" s="100">
        <f>C16</f>
        <v>1.8233015869770732</v>
      </c>
      <c r="E59" s="100">
        <f>C17</f>
        <v>1.2853350279732672</v>
      </c>
      <c r="F59" s="97">
        <f>C18</f>
        <v>1.4336338268675657E-2</v>
      </c>
      <c r="G59" s="100">
        <f>C19</f>
        <v>3.2003384869770732</v>
      </c>
      <c r="H59" s="100">
        <f>C20</f>
        <v>1.3770369000000002</v>
      </c>
      <c r="I59" s="97">
        <f>C21</f>
        <v>1.1314841813404612E-2</v>
      </c>
    </row>
    <row r="60" spans="1:9">
      <c r="A60" s="65">
        <v>26</v>
      </c>
      <c r="B60" s="98">
        <v>15</v>
      </c>
      <c r="C60" s="99">
        <v>52</v>
      </c>
      <c r="D60" s="100">
        <f>D16</f>
        <v>47.121111111111112</v>
      </c>
      <c r="E60" s="100">
        <f>D17</f>
        <v>3.7184914455214795</v>
      </c>
      <c r="F60" s="97">
        <f>D18</f>
        <v>0.50213798141530441</v>
      </c>
      <c r="G60" s="100">
        <f>D19</f>
        <v>55.227126049002123</v>
      </c>
      <c r="H60" s="100">
        <f>D20</f>
        <v>17.202512306590361</v>
      </c>
      <c r="I60" s="97">
        <f>D21</f>
        <v>0.13324485187547652</v>
      </c>
    </row>
    <row r="61" spans="1:9">
      <c r="A61" s="65">
        <v>26</v>
      </c>
      <c r="B61" s="98">
        <v>15</v>
      </c>
      <c r="C61" s="99">
        <v>54</v>
      </c>
      <c r="D61" s="100">
        <f>E16</f>
        <v>85.898546619564343</v>
      </c>
      <c r="E61" s="100">
        <f>E17</f>
        <v>4.0952846485347463</v>
      </c>
      <c r="F61" s="97">
        <f>E18</f>
        <v>0.16369899502731733</v>
      </c>
      <c r="G61" s="100">
        <f>E19</f>
        <v>88.782901278203838</v>
      </c>
      <c r="H61" s="100">
        <f>E20</f>
        <v>2.884354658639495</v>
      </c>
      <c r="I61" s="97">
        <f>E21</f>
        <v>0.11869477941424778</v>
      </c>
    </row>
    <row r="62" spans="1:9">
      <c r="A62" s="65">
        <v>26</v>
      </c>
      <c r="B62" s="98">
        <v>15</v>
      </c>
      <c r="C62" s="101">
        <v>55</v>
      </c>
      <c r="D62" s="102">
        <f>F16</f>
        <v>74.57005043921589</v>
      </c>
      <c r="E62" s="100">
        <f>F17</f>
        <v>4.0952846485347463</v>
      </c>
      <c r="F62" s="97">
        <f>F18</f>
        <v>0.16369899502731733</v>
      </c>
      <c r="G62" s="100">
        <f>F19</f>
        <v>79.743162938268711</v>
      </c>
      <c r="H62" s="100">
        <f>F20</f>
        <v>6.9372522461541939</v>
      </c>
      <c r="I62" s="97">
        <f>F21</f>
        <v>0.11968785605922672</v>
      </c>
    </row>
    <row r="63" spans="1:9">
      <c r="A63" s="65">
        <v>26</v>
      </c>
      <c r="B63" s="98">
        <v>15</v>
      </c>
      <c r="C63" s="101">
        <v>56</v>
      </c>
      <c r="D63" s="102">
        <f>G16</f>
        <v>47.121111111111112</v>
      </c>
      <c r="E63" s="100">
        <f>G17</f>
        <v>3.7184914455214795</v>
      </c>
      <c r="F63" s="97">
        <f>G18</f>
        <v>0.50213798141530441</v>
      </c>
      <c r="G63" s="100">
        <f>G19</f>
        <v>3.5939750546168625</v>
      </c>
      <c r="H63" s="100">
        <f>G20</f>
        <v>0.36044352359628373</v>
      </c>
      <c r="I63" s="97">
        <f>G21</f>
        <v>6.9415655107866306E-2</v>
      </c>
    </row>
    <row r="64" spans="1:9">
      <c r="A64" s="65">
        <v>26</v>
      </c>
      <c r="B64" s="98">
        <v>16</v>
      </c>
      <c r="C64" s="99">
        <v>51</v>
      </c>
      <c r="D64" s="100">
        <f>C22</f>
        <v>-3.5755323551896643</v>
      </c>
      <c r="E64" s="103">
        <f>C23</f>
        <v>0.25912455840199722</v>
      </c>
      <c r="F64" s="104">
        <f>C24</f>
        <v>0.53587063857754957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137.96952380952382</v>
      </c>
      <c r="E65" s="103">
        <f>D23</f>
        <v>7.727231315217983</v>
      </c>
      <c r="F65" s="104">
        <f>D24</f>
        <v>0.44504495021716228</v>
      </c>
      <c r="G65" s="100">
        <f>D25</f>
        <v>159.52500578137713</v>
      </c>
      <c r="H65" s="100">
        <f>D26</f>
        <v>15.623364766853953</v>
      </c>
      <c r="I65" s="97">
        <f>D27</f>
        <v>6.3419205290924902E-2</v>
      </c>
    </row>
    <row r="66" spans="1:9">
      <c r="A66" s="65">
        <v>26</v>
      </c>
      <c r="B66" s="98">
        <v>16</v>
      </c>
      <c r="C66" s="99">
        <v>54</v>
      </c>
      <c r="D66" s="100">
        <f>E22</f>
        <v>88.497389018717385</v>
      </c>
      <c r="E66" s="103">
        <f>E23</f>
        <v>-0.83511652568092332</v>
      </c>
      <c r="F66" s="104">
        <f>E24</f>
        <v>0.18115193157383946</v>
      </c>
      <c r="G66" s="100">
        <f>E25</f>
        <v>89.366971161813893</v>
      </c>
      <c r="H66" s="100">
        <f>E26</f>
        <v>0.86958214309650828</v>
      </c>
      <c r="I66" s="97">
        <f>E27</f>
        <v>0.6835128144238547</v>
      </c>
    </row>
    <row r="67" spans="1:9">
      <c r="A67" s="65">
        <v>26</v>
      </c>
      <c r="B67" s="98">
        <v>16</v>
      </c>
      <c r="C67" s="101">
        <v>55</v>
      </c>
      <c r="D67" s="105">
        <f>F22</f>
        <v>97.602510706638043</v>
      </c>
      <c r="E67" s="106">
        <f>F23</f>
        <v>-0.83511652568092332</v>
      </c>
      <c r="F67" s="107">
        <f>F24</f>
        <v>0.18115193157383946</v>
      </c>
      <c r="G67" s="100">
        <f>F25</f>
        <v>97.434135935372908</v>
      </c>
      <c r="H67" s="100">
        <f>F26</f>
        <v>-0.17251069674960676</v>
      </c>
      <c r="I67" s="97">
        <f>F27</f>
        <v>0.80099218817051088</v>
      </c>
    </row>
    <row r="68" spans="1:9">
      <c r="A68" s="65">
        <v>26</v>
      </c>
      <c r="B68" s="98">
        <v>16</v>
      </c>
      <c r="C68" s="101">
        <v>56</v>
      </c>
      <c r="D68" s="108">
        <f>G22</f>
        <v>137.96952380952382</v>
      </c>
      <c r="E68" s="100">
        <f>G23</f>
        <v>7.727231315217983</v>
      </c>
      <c r="F68" s="97">
        <f>G24</f>
        <v>0.44504495021716228</v>
      </c>
      <c r="G68" s="100">
        <f>G25</f>
        <v>25.220615645727964</v>
      </c>
      <c r="H68" s="100">
        <f>G23</f>
        <v>7.727231315217983</v>
      </c>
      <c r="I68" s="97">
        <f>G24</f>
        <v>0.44504495021716228</v>
      </c>
    </row>
    <row r="69" spans="1:9">
      <c r="A69" s="65">
        <v>26</v>
      </c>
      <c r="B69" s="98">
        <v>17</v>
      </c>
      <c r="C69" s="99">
        <v>51</v>
      </c>
      <c r="D69" s="100">
        <f>C28</f>
        <v>8.7213374292846417</v>
      </c>
      <c r="E69" s="103">
        <f>C29</f>
        <v>0.51531918883081551</v>
      </c>
      <c r="F69" s="104">
        <f>C30</f>
        <v>3.8182268024548341E-2</v>
      </c>
      <c r="G69" s="100">
        <f>C31</f>
        <v>9.5155904848401942</v>
      </c>
      <c r="H69" s="100">
        <f>C32</f>
        <v>0.79425305555555248</v>
      </c>
      <c r="I69" s="97">
        <f>C33</f>
        <v>2.5397033471702885E-3</v>
      </c>
    </row>
    <row r="70" spans="1:9">
      <c r="A70" s="65">
        <v>26</v>
      </c>
      <c r="B70" s="98">
        <v>17</v>
      </c>
      <c r="C70" s="99">
        <v>52</v>
      </c>
      <c r="D70" s="100">
        <f>D28</f>
        <v>129.42730158730157</v>
      </c>
      <c r="E70" s="103">
        <f>D29</f>
        <v>8.2984056358917311</v>
      </c>
      <c r="F70" s="104">
        <f>D30</f>
        <v>0.26937650719388428</v>
      </c>
      <c r="G70" s="100">
        <f>D31</f>
        <v>131.84142201473392</v>
      </c>
      <c r="H70" s="100">
        <f>D32</f>
        <v>1.8652327583326602</v>
      </c>
      <c r="I70" s="97">
        <f>D33</f>
        <v>0.79768047099257233</v>
      </c>
    </row>
    <row r="71" spans="1:9">
      <c r="A71" s="65">
        <v>26</v>
      </c>
      <c r="B71" s="98">
        <v>17</v>
      </c>
      <c r="C71" s="99">
        <v>54</v>
      </c>
      <c r="D71" s="100">
        <f>E28</f>
        <v>96.777158682775593</v>
      </c>
      <c r="E71" s="103">
        <f>E29</f>
        <v>0.11159822279311354</v>
      </c>
      <c r="F71" s="104">
        <f>E30</f>
        <v>0.83442845766293416</v>
      </c>
      <c r="G71" s="100">
        <f>E31</f>
        <v>92.159950457267996</v>
      </c>
      <c r="H71" s="100">
        <f>E32</f>
        <v>-4.6172082255075964</v>
      </c>
      <c r="I71" s="97">
        <f>E33</f>
        <v>5.1642209699915417E-3</v>
      </c>
    </row>
    <row r="72" spans="1:9">
      <c r="A72" s="65">
        <v>26</v>
      </c>
      <c r="B72" s="98">
        <v>17</v>
      </c>
      <c r="C72" s="101">
        <v>55</v>
      </c>
      <c r="D72" s="105">
        <f>F28</f>
        <v>98.027123817573752</v>
      </c>
      <c r="E72" s="106">
        <f>F29</f>
        <v>0.11159822279311354</v>
      </c>
      <c r="F72" s="107">
        <f>F30</f>
        <v>0.83442845766293416</v>
      </c>
      <c r="G72" s="100">
        <f>F31</f>
        <v>98.258555701037622</v>
      </c>
      <c r="H72" s="100">
        <f>F32</f>
        <v>0.23608963973539127</v>
      </c>
      <c r="I72" s="97">
        <f>F33</f>
        <v>0.74525154651179681</v>
      </c>
    </row>
    <row r="73" spans="1:9">
      <c r="A73" s="65">
        <v>26</v>
      </c>
      <c r="B73" s="98">
        <v>17</v>
      </c>
      <c r="C73" s="101">
        <v>56</v>
      </c>
      <c r="D73" s="108">
        <f>G28</f>
        <v>129.42730158730157</v>
      </c>
      <c r="E73" s="100">
        <f>G29</f>
        <v>8.2984056358917311</v>
      </c>
      <c r="F73" s="97">
        <f>G30</f>
        <v>0.26937650719388428</v>
      </c>
      <c r="G73" s="100">
        <f>G31</f>
        <v>32.574314386902472</v>
      </c>
      <c r="H73" s="100">
        <f>G32</f>
        <v>-1.5817487293377752</v>
      </c>
      <c r="I73" s="97">
        <f>G33</f>
        <v>1.6486677812129914E-2</v>
      </c>
    </row>
    <row r="74" spans="1:9">
      <c r="A74" s="65">
        <v>26</v>
      </c>
      <c r="B74" s="98">
        <v>18</v>
      </c>
      <c r="C74" s="99">
        <v>51</v>
      </c>
      <c r="D74" s="100">
        <f>C34</f>
        <v>19.622492065883815</v>
      </c>
      <c r="E74" s="103">
        <f>C35</f>
        <v>0.52523439245598846</v>
      </c>
      <c r="F74" s="104">
        <f>C36</f>
        <v>0.17188211731321951</v>
      </c>
      <c r="G74" s="100">
        <f>C37</f>
        <v>20.673950765883816</v>
      </c>
      <c r="H74" s="100">
        <f>C38</f>
        <v>1.0514587000000013</v>
      </c>
      <c r="I74" s="97">
        <f>C39</f>
        <v>4.266021611834021E-3</v>
      </c>
    </row>
    <row r="75" spans="1:9">
      <c r="A75" s="65">
        <v>26</v>
      </c>
      <c r="B75" s="98">
        <v>18</v>
      </c>
      <c r="C75" s="99">
        <v>52</v>
      </c>
      <c r="D75" s="100">
        <f>D34</f>
        <v>65.441111111111098</v>
      </c>
      <c r="E75" s="103">
        <f>D35</f>
        <v>-4.0686371100164216</v>
      </c>
      <c r="F75" s="104">
        <f>D36</f>
        <v>0.55700895617572521</v>
      </c>
      <c r="G75" s="100">
        <f>D37</f>
        <v>68.08035075617434</v>
      </c>
      <c r="H75" s="100">
        <f>D38</f>
        <v>4.0329994406453951</v>
      </c>
      <c r="I75" s="97">
        <f>D39</f>
        <v>0.72921845633115967</v>
      </c>
    </row>
    <row r="76" spans="1:9">
      <c r="A76" s="65">
        <v>26</v>
      </c>
      <c r="B76" s="98">
        <v>18</v>
      </c>
      <c r="C76" s="99">
        <v>54</v>
      </c>
      <c r="D76" s="100">
        <f>E34</f>
        <v>83.617960839717909</v>
      </c>
      <c r="E76" s="103">
        <f>E35</f>
        <v>1.3915290930307933</v>
      </c>
      <c r="F76" s="104">
        <f>E36</f>
        <v>0.62069307035126808</v>
      </c>
      <c r="G76" s="100">
        <f>E37</f>
        <v>78.254582987918525</v>
      </c>
      <c r="H76" s="100">
        <f>E38</f>
        <v>-5.3633778517993846</v>
      </c>
      <c r="I76" s="97">
        <f>E39</f>
        <v>1.4795139576002024E-2</v>
      </c>
    </row>
    <row r="77" spans="1:9">
      <c r="A77" s="65">
        <v>26</v>
      </c>
      <c r="B77" s="98">
        <v>18</v>
      </c>
      <c r="C77" s="101">
        <v>55</v>
      </c>
      <c r="D77" s="105">
        <f>F34</f>
        <v>85.077457791016528</v>
      </c>
      <c r="E77" s="106">
        <f>F35</f>
        <v>1.3915290930307933</v>
      </c>
      <c r="F77" s="107">
        <f>F36</f>
        <v>0.62069307035126808</v>
      </c>
      <c r="G77" s="100">
        <f>F37</f>
        <v>83.072186172297876</v>
      </c>
      <c r="H77" s="100">
        <f>F38</f>
        <v>-2.3569952262141949</v>
      </c>
      <c r="I77" s="97">
        <f>F39</f>
        <v>0.45825705533059602</v>
      </c>
    </row>
    <row r="78" spans="1:9">
      <c r="A78" s="65">
        <v>26</v>
      </c>
      <c r="B78" s="98">
        <v>18</v>
      </c>
      <c r="C78" s="101">
        <v>56</v>
      </c>
      <c r="D78" s="108">
        <f>G34</f>
        <v>65.441111111111098</v>
      </c>
      <c r="E78" s="100">
        <f>G35</f>
        <v>-4.0686371100164216</v>
      </c>
      <c r="F78" s="97">
        <f>G36</f>
        <v>0.55700895617572521</v>
      </c>
      <c r="G78" s="100">
        <f>G37</f>
        <v>5.6996540260289255</v>
      </c>
      <c r="H78" s="100">
        <f>G38</f>
        <v>-0.62972715698736881</v>
      </c>
      <c r="I78" s="97">
        <f>G39</f>
        <v>6.9018866334911132E-3</v>
      </c>
    </row>
    <row r="79" spans="1:9">
      <c r="A79" s="65">
        <v>26</v>
      </c>
      <c r="B79" s="98">
        <v>19</v>
      </c>
      <c r="C79" s="99">
        <v>51</v>
      </c>
      <c r="D79" s="100">
        <f>C40</f>
        <v>21.947350228334532</v>
      </c>
      <c r="E79" s="103">
        <f>C41</f>
        <v>0.96485068359582937</v>
      </c>
      <c r="F79" s="104">
        <f>C42</f>
        <v>1.6594253962800443E-2</v>
      </c>
      <c r="G79" s="100">
        <f>C43</f>
        <v>22.864138561667858</v>
      </c>
      <c r="H79" s="100">
        <f>C44</f>
        <v>0.91678833333332577</v>
      </c>
      <c r="I79" s="97">
        <f>C45</f>
        <v>3.7004214322099778E-2</v>
      </c>
    </row>
    <row r="80" spans="1:9">
      <c r="A80" s="65">
        <v>26</v>
      </c>
      <c r="B80" s="98">
        <v>19</v>
      </c>
      <c r="C80" s="99">
        <v>52</v>
      </c>
      <c r="D80" s="100">
        <f>D40</f>
        <v>55.840476190476146</v>
      </c>
      <c r="E80" s="100">
        <f>D41</f>
        <v>-2.2287727104189665</v>
      </c>
      <c r="F80" s="104">
        <f>D42</f>
        <v>0.7715646739118327</v>
      </c>
      <c r="G80" s="100">
        <f>D43</f>
        <v>60.864740695727015</v>
      </c>
      <c r="H80" s="100">
        <f>D44</f>
        <v>8.9975316258276852</v>
      </c>
      <c r="I80" s="97">
        <f>D45</f>
        <v>0.65881820470776864</v>
      </c>
    </row>
    <row r="81" spans="1:9">
      <c r="A81" s="65">
        <v>26</v>
      </c>
      <c r="B81" s="98">
        <v>19</v>
      </c>
      <c r="C81" s="99">
        <v>54</v>
      </c>
      <c r="D81" s="100">
        <f>E40</f>
        <v>94.626116141457985</v>
      </c>
      <c r="E81" s="103">
        <f>E41</f>
        <v>0.8339483598438584</v>
      </c>
      <c r="F81" s="104">
        <f>E42</f>
        <v>0.79521615459259831</v>
      </c>
      <c r="G81" s="100">
        <f>E43</f>
        <v>96.018497543191003</v>
      </c>
      <c r="H81" s="100">
        <f>E44</f>
        <v>1.3923814017330187</v>
      </c>
      <c r="I81" s="97">
        <f>E45</f>
        <v>0.22583823367588418</v>
      </c>
    </row>
    <row r="82" spans="1:9">
      <c r="A82" s="65">
        <v>26</v>
      </c>
      <c r="B82" s="98">
        <v>19</v>
      </c>
      <c r="C82" s="101">
        <v>55</v>
      </c>
      <c r="D82" s="105">
        <f>F40</f>
        <v>84.364912315656952</v>
      </c>
      <c r="E82" s="106">
        <f>F41</f>
        <v>0.8339483598438584</v>
      </c>
      <c r="F82" s="107">
        <f>F42</f>
        <v>0.79521615459259831</v>
      </c>
      <c r="G82" s="100">
        <f>F43</f>
        <v>83.277212886535992</v>
      </c>
      <c r="H82" s="100">
        <f>F44</f>
        <v>-1.289279392659435</v>
      </c>
      <c r="I82" s="97">
        <f>F45</f>
        <v>0.75754812346584255</v>
      </c>
    </row>
    <row r="83" spans="1:9">
      <c r="A83" s="65">
        <v>26</v>
      </c>
      <c r="B83" s="98">
        <v>19</v>
      </c>
      <c r="C83" s="101">
        <v>56</v>
      </c>
      <c r="D83" s="108">
        <f>G40</f>
        <v>55.840476190476146</v>
      </c>
      <c r="E83" s="106">
        <f>G41</f>
        <v>-2.2287727104189665</v>
      </c>
      <c r="F83" s="109">
        <f>G42</f>
        <v>0.7715646739118327</v>
      </c>
      <c r="G83" s="100">
        <f>G43</f>
        <v>5.5755547141210515</v>
      </c>
      <c r="H83" s="100">
        <f>G44</f>
        <v>-4.9676566086898077E-4</v>
      </c>
      <c r="I83" s="97">
        <f>G45</f>
        <v>0.99852671352414391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7"/>
  <dimension ref="A1:O83"/>
  <sheetViews>
    <sheetView topLeftCell="A34"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1" width="9.28515625" style="27" bestFit="1" customWidth="1"/>
    <col min="12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18.619228493475145</v>
      </c>
      <c r="D4" s="31">
        <v>158.76733333333334</v>
      </c>
      <c r="E4" s="30">
        <v>96.527730202215935</v>
      </c>
      <c r="F4" s="30">
        <v>97.447729398540062</v>
      </c>
      <c r="G4" s="130">
        <v>6.5831333744169021</v>
      </c>
    </row>
    <row r="5" spans="1:8" ht="18.75">
      <c r="A5" s="178"/>
      <c r="B5" s="21" t="s">
        <v>17</v>
      </c>
      <c r="C5" s="131">
        <v>0.92567243017052803</v>
      </c>
      <c r="D5" s="33">
        <v>-2.9010456062291472</v>
      </c>
      <c r="E5" s="34">
        <v>8.9579419213433445E-2</v>
      </c>
      <c r="F5" s="34">
        <v>8.9579419213433445E-2</v>
      </c>
      <c r="G5" s="132">
        <v>-0.21829759788584191</v>
      </c>
    </row>
    <row r="6" spans="1:8">
      <c r="A6" s="178"/>
      <c r="B6" s="22" t="s">
        <v>18</v>
      </c>
      <c r="C6" s="133">
        <v>1.838158965571225E-4</v>
      </c>
      <c r="D6" s="37">
        <v>0.79279884734982153</v>
      </c>
      <c r="E6" s="37">
        <v>0.91161453232111767</v>
      </c>
      <c r="F6" s="37">
        <v>0.91161453232111767</v>
      </c>
      <c r="G6" s="134">
        <v>1.9358303737367907E-2</v>
      </c>
    </row>
    <row r="7" spans="1:8" ht="18.75">
      <c r="A7" s="178"/>
      <c r="B7" s="23" t="s">
        <v>19</v>
      </c>
      <c r="C7" s="78">
        <v>19.444042760141823</v>
      </c>
      <c r="D7" s="38">
        <v>150.06412062980175</v>
      </c>
      <c r="E7" s="112">
        <v>98.208976959003124</v>
      </c>
      <c r="F7" s="10">
        <v>98.407685173956011</v>
      </c>
      <c r="G7" s="113">
        <v>6.7465894946863596</v>
      </c>
    </row>
    <row r="8" spans="1:8" ht="18.75">
      <c r="A8" s="178"/>
      <c r="B8" s="21" t="s">
        <v>20</v>
      </c>
      <c r="C8" s="135">
        <v>0.82481426666667801</v>
      </c>
      <c r="D8" s="40">
        <v>-5.4817401796748246</v>
      </c>
      <c r="E8" s="136">
        <v>1.6812467567871892</v>
      </c>
      <c r="F8" s="10">
        <v>0.98509814578638233</v>
      </c>
      <c r="G8" s="137">
        <v>0.16345612026945755</v>
      </c>
    </row>
    <row r="9" spans="1:8" ht="16.5" thickBot="1">
      <c r="A9" s="179"/>
      <c r="B9" s="25" t="s">
        <v>21</v>
      </c>
      <c r="C9" s="146">
        <v>4.6489913826930334E-3</v>
      </c>
      <c r="D9" s="139">
        <v>0.51234404661012767</v>
      </c>
      <c r="E9" s="147">
        <v>0.11498222872077901</v>
      </c>
      <c r="F9" s="47">
        <v>0.60436687349343676</v>
      </c>
      <c r="G9" s="141">
        <v>0.27066250584194695</v>
      </c>
    </row>
    <row r="10" spans="1:8" ht="18.75">
      <c r="A10" s="180" t="s">
        <v>2</v>
      </c>
      <c r="B10" s="20" t="s">
        <v>16</v>
      </c>
      <c r="C10" s="129">
        <v>10.291172582555841</v>
      </c>
      <c r="D10" s="31">
        <v>101.02133333333336</v>
      </c>
      <c r="E10" s="30">
        <v>92.231288464583884</v>
      </c>
      <c r="F10" s="30">
        <v>91.614407485233045</v>
      </c>
      <c r="G10" s="130">
        <v>5.9145714366256996</v>
      </c>
    </row>
    <row r="11" spans="1:8" ht="18.75">
      <c r="A11" s="178"/>
      <c r="B11" s="21" t="s">
        <v>17</v>
      </c>
      <c r="C11" s="131">
        <v>0.13970972861630693</v>
      </c>
      <c r="D11" s="33">
        <v>4.2886763070077887</v>
      </c>
      <c r="E11" s="34">
        <v>1.1252217317815809</v>
      </c>
      <c r="F11" s="34">
        <v>1.1252217317815809</v>
      </c>
      <c r="G11" s="132">
        <v>0.11071321260208662</v>
      </c>
    </row>
    <row r="12" spans="1:8">
      <c r="A12" s="178"/>
      <c r="B12" s="22" t="s">
        <v>18</v>
      </c>
      <c r="C12" s="133">
        <v>0.49941570499125931</v>
      </c>
      <c r="D12" s="37">
        <v>0.51359099421796306</v>
      </c>
      <c r="E12" s="37">
        <v>0.44473453420725406</v>
      </c>
      <c r="F12" s="37">
        <v>0.44473453420725406</v>
      </c>
      <c r="G12" s="134">
        <v>0.33740934902500141</v>
      </c>
    </row>
    <row r="13" spans="1:8" ht="18.75">
      <c r="A13" s="178"/>
      <c r="B13" s="23" t="s">
        <v>19</v>
      </c>
      <c r="C13" s="78">
        <v>11.814976182555842</v>
      </c>
      <c r="D13" s="38">
        <v>105.94774934149689</v>
      </c>
      <c r="E13" s="112">
        <v>98.278381600521072</v>
      </c>
      <c r="F13" s="10">
        <v>91.798228278933863</v>
      </c>
      <c r="G13" s="113">
        <v>6.3185493498806551</v>
      </c>
    </row>
    <row r="14" spans="1:8" ht="18.75">
      <c r="A14" s="178"/>
      <c r="B14" s="21" t="s">
        <v>20</v>
      </c>
      <c r="C14" s="135">
        <v>1.5238036000000008</v>
      </c>
      <c r="D14" s="10">
        <v>4.8766095690978011</v>
      </c>
      <c r="E14" s="11">
        <v>6.0470931359371889</v>
      </c>
      <c r="F14" s="10">
        <v>0.20064616335640034</v>
      </c>
      <c r="G14" s="137">
        <v>0.40397791325495547</v>
      </c>
    </row>
    <row r="15" spans="1:8" ht="16.5" thickBot="1">
      <c r="A15" s="181"/>
      <c r="B15" s="26" t="s">
        <v>21</v>
      </c>
      <c r="C15" s="149">
        <v>3.1920048208306126E-6</v>
      </c>
      <c r="D15" s="48">
        <v>0.55923306904080317</v>
      </c>
      <c r="E15" s="121">
        <v>1.5028051371578933E-5</v>
      </c>
      <c r="F15" s="43">
        <v>0.89850098898009922</v>
      </c>
      <c r="G15" s="143">
        <v>5.5239299000979887E-3</v>
      </c>
    </row>
    <row r="16" spans="1:8" ht="18.75">
      <c r="A16" s="177" t="s">
        <v>3</v>
      </c>
      <c r="B16" s="24" t="s">
        <v>16</v>
      </c>
      <c r="C16" s="144">
        <v>1.8013333343830376</v>
      </c>
      <c r="D16" s="45">
        <v>44.957333333333331</v>
      </c>
      <c r="E16" s="44">
        <v>86.251207660705262</v>
      </c>
      <c r="F16" s="44">
        <v>76.158330112402794</v>
      </c>
      <c r="G16" s="145">
        <v>3.2792700193946103</v>
      </c>
    </row>
    <row r="17" spans="1:7" ht="18.75">
      <c r="A17" s="178"/>
      <c r="B17" s="21" t="s">
        <v>17</v>
      </c>
      <c r="C17" s="131">
        <v>1.1288008917133858</v>
      </c>
      <c r="D17" s="33">
        <v>1.9436707452725257</v>
      </c>
      <c r="E17" s="34">
        <v>4.9077517815564029</v>
      </c>
      <c r="F17" s="34">
        <v>4.9077517815564029</v>
      </c>
      <c r="G17" s="132">
        <v>0.24371290773648227</v>
      </c>
    </row>
    <row r="18" spans="1:7">
      <c r="A18" s="178"/>
      <c r="B18" s="22" t="s">
        <v>18</v>
      </c>
      <c r="C18" s="133">
        <v>3.5052187759424834E-2</v>
      </c>
      <c r="D18" s="37">
        <v>0.62428080531185848</v>
      </c>
      <c r="E18" s="37">
        <v>0.12290241231631016</v>
      </c>
      <c r="F18" s="37">
        <v>0.12290241231631016</v>
      </c>
      <c r="G18" s="134">
        <v>0.10536769827573929</v>
      </c>
    </row>
    <row r="19" spans="1:7" ht="18.75">
      <c r="A19" s="178"/>
      <c r="B19" s="23" t="s">
        <v>19</v>
      </c>
      <c r="C19" s="78">
        <v>2.9959313343830374</v>
      </c>
      <c r="D19" s="38">
        <v>45.726277138194881</v>
      </c>
      <c r="E19" s="112">
        <v>90.392020187232433</v>
      </c>
      <c r="F19" s="10">
        <v>76.65491816392219</v>
      </c>
      <c r="G19" s="113">
        <v>3.5076235010459027</v>
      </c>
    </row>
    <row r="20" spans="1:7" ht="18.75">
      <c r="A20" s="178"/>
      <c r="B20" s="21" t="s">
        <v>20</v>
      </c>
      <c r="C20" s="135">
        <v>1.194598</v>
      </c>
      <c r="D20" s="10">
        <v>1.7103857098468571</v>
      </c>
      <c r="E20" s="11">
        <v>4.1408125265271707</v>
      </c>
      <c r="F20" s="10">
        <v>0.65204692748183779</v>
      </c>
      <c r="G20" s="137">
        <v>0.22835348165129243</v>
      </c>
    </row>
    <row r="21" spans="1:7" ht="16.5" thickBot="1">
      <c r="A21" s="179"/>
      <c r="B21" s="25" t="s">
        <v>21</v>
      </c>
      <c r="C21" s="146">
        <v>2.0865509439631936E-2</v>
      </c>
      <c r="D21" s="46">
        <v>0.83864245520339165</v>
      </c>
      <c r="E21" s="89">
        <v>4.7815551597047673E-2</v>
      </c>
      <c r="F21" s="47">
        <v>0.79631704527774616</v>
      </c>
      <c r="G21" s="141">
        <v>0.10530636441127283</v>
      </c>
    </row>
    <row r="22" spans="1:7" ht="18.75">
      <c r="A22" s="180" t="s">
        <v>4</v>
      </c>
      <c r="B22" s="20" t="s">
        <v>16</v>
      </c>
      <c r="C22" s="129">
        <v>-3.0154784504231915</v>
      </c>
      <c r="D22" s="31">
        <v>107.47333333333334</v>
      </c>
      <c r="E22" s="30">
        <v>90.055990768391894</v>
      </c>
      <c r="F22" s="30">
        <v>96.596901460709816</v>
      </c>
      <c r="G22" s="130">
        <v>25.242999471139775</v>
      </c>
    </row>
    <row r="23" spans="1:7" ht="18.75">
      <c r="A23" s="178"/>
      <c r="B23" s="21" t="s">
        <v>17</v>
      </c>
      <c r="C23" s="131">
        <v>0.42492592580099342</v>
      </c>
      <c r="D23" s="68">
        <v>1.4171301446051199</v>
      </c>
      <c r="E23" s="34">
        <v>0.13645906347750458</v>
      </c>
      <c r="F23" s="34">
        <v>0.13645906347750458</v>
      </c>
      <c r="G23" s="132">
        <v>0.7972362149603176</v>
      </c>
    </row>
    <row r="24" spans="1:7">
      <c r="A24" s="178"/>
      <c r="B24" s="22" t="s">
        <v>18</v>
      </c>
      <c r="C24" s="133">
        <v>0.40935797613799862</v>
      </c>
      <c r="D24" s="37">
        <v>0.77510837616763129</v>
      </c>
      <c r="E24" s="37">
        <v>0.82189226265300908</v>
      </c>
      <c r="F24" s="37">
        <v>0.82189226265300908</v>
      </c>
      <c r="G24" s="134">
        <v>0.35607013216536465</v>
      </c>
    </row>
    <row r="25" spans="1:7" ht="18.75">
      <c r="A25" s="178"/>
      <c r="B25" s="23" t="s">
        <v>19</v>
      </c>
      <c r="C25" s="78">
        <v>-1.6289501615343027</v>
      </c>
      <c r="D25" s="38">
        <v>118.43924133817904</v>
      </c>
      <c r="E25" s="112">
        <v>91.220179234662027</v>
      </c>
      <c r="F25" s="10">
        <v>96.11501667363865</v>
      </c>
      <c r="G25" s="113">
        <v>25.431591675710127</v>
      </c>
    </row>
    <row r="26" spans="1:7" ht="18.75">
      <c r="A26" s="178"/>
      <c r="B26" s="21" t="s">
        <v>20</v>
      </c>
      <c r="C26" s="135">
        <v>1.3865282888888888</v>
      </c>
      <c r="D26" s="10">
        <v>10.20337572561786</v>
      </c>
      <c r="E26" s="11">
        <v>1.1641884662701329</v>
      </c>
      <c r="F26" s="10">
        <v>-0.49886153674107953</v>
      </c>
      <c r="G26" s="115">
        <v>0.18859220457035164</v>
      </c>
    </row>
    <row r="27" spans="1:7" ht="16.5" thickBot="1">
      <c r="A27" s="181"/>
      <c r="B27" s="26" t="s">
        <v>21</v>
      </c>
      <c r="C27" s="149">
        <v>7.4015476436291219E-3</v>
      </c>
      <c r="D27" s="48">
        <v>0.10683944061933548</v>
      </c>
      <c r="E27" s="121">
        <v>0.51584237495775209</v>
      </c>
      <c r="F27" s="43">
        <v>0.34823321195731838</v>
      </c>
      <c r="G27" s="122">
        <v>0.72644802134992714</v>
      </c>
    </row>
    <row r="28" spans="1:7" ht="18.75">
      <c r="A28" s="177" t="s">
        <v>5</v>
      </c>
      <c r="B28" s="24" t="s">
        <v>16</v>
      </c>
      <c r="C28" s="144">
        <v>8.0475123055400513</v>
      </c>
      <c r="D28" s="45">
        <v>138.37100000000001</v>
      </c>
      <c r="E28" s="44">
        <v>98.065346412344681</v>
      </c>
      <c r="F28" s="44">
        <v>98.499625043143666</v>
      </c>
      <c r="G28" s="145">
        <v>34.776504994871097</v>
      </c>
    </row>
    <row r="29" spans="1:7" ht="18.75">
      <c r="A29" s="178"/>
      <c r="B29" s="21" t="s">
        <v>17</v>
      </c>
      <c r="C29" s="131">
        <v>0.41931434725224548</v>
      </c>
      <c r="D29" s="68">
        <v>10.314727474972196</v>
      </c>
      <c r="E29" s="34">
        <v>0.45630426387798456</v>
      </c>
      <c r="F29" s="34">
        <v>0.45630426387798456</v>
      </c>
      <c r="G29" s="132">
        <v>0.21774798706916731</v>
      </c>
    </row>
    <row r="30" spans="1:7">
      <c r="A30" s="178"/>
      <c r="B30" s="22" t="s">
        <v>18</v>
      </c>
      <c r="C30" s="133">
        <v>9.3792792169577255E-2</v>
      </c>
      <c r="D30" s="37">
        <v>0.19130414955368369</v>
      </c>
      <c r="E30" s="49">
        <v>0.26775788156505043</v>
      </c>
      <c r="F30" s="49">
        <v>0.26775788156505043</v>
      </c>
      <c r="G30" s="134">
        <v>0.46270107597163657</v>
      </c>
    </row>
    <row r="31" spans="1:7" ht="18.75">
      <c r="A31" s="178"/>
      <c r="B31" s="23" t="s">
        <v>19</v>
      </c>
      <c r="C31" s="78">
        <v>8.7935143833178273</v>
      </c>
      <c r="D31" s="38">
        <v>134.56736743399043</v>
      </c>
      <c r="E31" s="112">
        <v>95.485827206216527</v>
      </c>
      <c r="F31" s="10">
        <v>97.768666479960686</v>
      </c>
      <c r="G31" s="113">
        <v>33.5953203514308</v>
      </c>
    </row>
    <row r="32" spans="1:7" ht="18.75">
      <c r="A32" s="178"/>
      <c r="B32" s="21" t="s">
        <v>20</v>
      </c>
      <c r="C32" s="135">
        <v>0.74600207777777605</v>
      </c>
      <c r="D32" s="10">
        <v>-2.7488654168934152</v>
      </c>
      <c r="E32" s="11">
        <v>-2.579519206128154</v>
      </c>
      <c r="F32" s="10">
        <v>-0.74209273676201204</v>
      </c>
      <c r="G32" s="115">
        <v>-1.1811846434402966</v>
      </c>
    </row>
    <row r="33" spans="1:15" ht="16.5" thickBot="1">
      <c r="A33" s="179"/>
      <c r="B33" s="25" t="s">
        <v>21</v>
      </c>
      <c r="C33" s="146">
        <v>4.5813116413050206E-3</v>
      </c>
      <c r="D33" s="46">
        <v>0.68007314834340948</v>
      </c>
      <c r="E33" s="117">
        <v>2.0870233493332072E-2</v>
      </c>
      <c r="F33" s="47">
        <v>0.29985062052095379</v>
      </c>
      <c r="G33" s="118">
        <v>9.5488155603744782E-3</v>
      </c>
    </row>
    <row r="34" spans="1:15" ht="18.75">
      <c r="A34" s="177" t="s">
        <v>6</v>
      </c>
      <c r="B34" s="24" t="s">
        <v>16</v>
      </c>
      <c r="C34" s="129">
        <v>17.264177776124743</v>
      </c>
      <c r="D34" s="31">
        <v>85.969999999999985</v>
      </c>
      <c r="E34" s="30">
        <v>96.898123563873099</v>
      </c>
      <c r="F34" s="30">
        <v>76.398134375986871</v>
      </c>
      <c r="G34" s="130">
        <v>6.6501567166625879</v>
      </c>
    </row>
    <row r="35" spans="1:15" ht="18.75">
      <c r="A35" s="178"/>
      <c r="B35" s="21" t="s">
        <v>17</v>
      </c>
      <c r="C35" s="131">
        <v>0.52496254882416071</v>
      </c>
      <c r="D35" s="33">
        <v>-13.296774193548387</v>
      </c>
      <c r="E35" s="34">
        <v>5.6344559088396204</v>
      </c>
      <c r="F35" s="34">
        <v>5.6344559088396204</v>
      </c>
      <c r="G35" s="132">
        <v>0.40239400676134313</v>
      </c>
    </row>
    <row r="36" spans="1:15">
      <c r="A36" s="178"/>
      <c r="B36" s="22" t="s">
        <v>18</v>
      </c>
      <c r="C36" s="133">
        <v>7.294985659965772E-2</v>
      </c>
      <c r="D36" s="37">
        <v>9.1458254296141919E-2</v>
      </c>
      <c r="E36" s="37">
        <v>0.12050395072675069</v>
      </c>
      <c r="F36" s="37">
        <v>0.12050395072675069</v>
      </c>
      <c r="G36" s="134">
        <v>0.21425290000594877</v>
      </c>
    </row>
    <row r="37" spans="1:15" ht="18.75">
      <c r="A37" s="178"/>
      <c r="B37" s="23" t="s">
        <v>19</v>
      </c>
      <c r="C37" s="78">
        <v>18.289849709458068</v>
      </c>
      <c r="D37" s="38">
        <v>93.384912245752048</v>
      </c>
      <c r="E37" s="112">
        <v>96.899545251002777</v>
      </c>
      <c r="F37" s="10">
        <v>71.615375165326242</v>
      </c>
      <c r="G37" s="113">
        <v>6.2448772476763059</v>
      </c>
    </row>
    <row r="38" spans="1:15" ht="18.75">
      <c r="A38" s="178"/>
      <c r="B38" s="21" t="s">
        <v>20</v>
      </c>
      <c r="C38" s="135">
        <v>1.0256719333333262</v>
      </c>
      <c r="D38" s="10">
        <v>8.6249997042597091</v>
      </c>
      <c r="E38" s="11">
        <v>1.4216871296781619E-3</v>
      </c>
      <c r="F38" s="10">
        <v>-6.2603089063964417</v>
      </c>
      <c r="G38" s="115">
        <v>-0.40527946898628198</v>
      </c>
    </row>
    <row r="39" spans="1:15" ht="16.5" thickBot="1">
      <c r="A39" s="179"/>
      <c r="B39" s="25" t="s">
        <v>21</v>
      </c>
      <c r="C39" s="149">
        <v>4.9655381913672346E-4</v>
      </c>
      <c r="D39" s="48">
        <v>0.35537168804925323</v>
      </c>
      <c r="E39" s="121">
        <v>0.99793628802527523</v>
      </c>
      <c r="F39" s="43">
        <v>0.31591955294513319</v>
      </c>
      <c r="G39" s="122">
        <v>0.30785676213451851</v>
      </c>
    </row>
    <row r="40" spans="1:15" ht="18.75">
      <c r="A40" s="180" t="s">
        <v>7</v>
      </c>
      <c r="B40" s="20" t="s">
        <v>16</v>
      </c>
      <c r="C40" s="144">
        <v>19.092801076417331</v>
      </c>
      <c r="D40" s="45">
        <v>94.814000000000036</v>
      </c>
      <c r="E40" s="44">
        <v>89.740471790883376</v>
      </c>
      <c r="F40" s="44">
        <v>67.352819960420021</v>
      </c>
      <c r="G40" s="145">
        <v>4.2875725824322375</v>
      </c>
    </row>
    <row r="41" spans="1:15" ht="18.75">
      <c r="A41" s="178"/>
      <c r="B41" s="21" t="s">
        <v>17</v>
      </c>
      <c r="C41" s="131">
        <v>1.1077415783923963</v>
      </c>
      <c r="D41" s="33">
        <v>-5.9030478309232439</v>
      </c>
      <c r="E41" s="34">
        <v>2.5283893271693936</v>
      </c>
      <c r="F41" s="34">
        <v>2.5283893271693936</v>
      </c>
      <c r="G41" s="132">
        <v>0.40319292471749574</v>
      </c>
    </row>
    <row r="42" spans="1:15">
      <c r="A42" s="178"/>
      <c r="B42" s="22" t="s">
        <v>18</v>
      </c>
      <c r="C42" s="133">
        <v>8.9222560664785008E-4</v>
      </c>
      <c r="D42" s="37">
        <v>0.55657344538342068</v>
      </c>
      <c r="E42" s="49">
        <v>0.56753038975157877</v>
      </c>
      <c r="F42" s="49">
        <v>0.56753038975157877</v>
      </c>
      <c r="G42" s="134">
        <v>0.2079609580955547</v>
      </c>
    </row>
    <row r="43" spans="1:15" ht="18.75">
      <c r="A43" s="178"/>
      <c r="B43" s="23" t="s">
        <v>19</v>
      </c>
      <c r="C43" s="78">
        <v>19.597747909750666</v>
      </c>
      <c r="D43" s="38">
        <v>96.073506315915481</v>
      </c>
      <c r="E43" s="112">
        <v>93.295345733074967</v>
      </c>
      <c r="F43" s="10">
        <v>66.989485026075229</v>
      </c>
      <c r="G43" s="113">
        <v>4.4062260201990728</v>
      </c>
    </row>
    <row r="44" spans="1:15" ht="18.75">
      <c r="A44" s="178"/>
      <c r="B44" s="21" t="s">
        <v>20</v>
      </c>
      <c r="C44" s="135">
        <v>0.50494683333333512</v>
      </c>
      <c r="D44" s="10">
        <v>1.3283969834786442</v>
      </c>
      <c r="E44" s="11">
        <v>3.5548739421915911</v>
      </c>
      <c r="F44" s="10">
        <v>-0.53945021835508244</v>
      </c>
      <c r="G44" s="137">
        <v>0.1186534377668349</v>
      </c>
    </row>
    <row r="45" spans="1:15" ht="16.5" thickBot="1">
      <c r="A45" s="179"/>
      <c r="B45" s="25" t="s">
        <v>21</v>
      </c>
      <c r="C45" s="149">
        <v>0.13271428077937031</v>
      </c>
      <c r="D45" s="48">
        <v>0.9021759355457335</v>
      </c>
      <c r="E45" s="121">
        <v>0.11386982550261993</v>
      </c>
      <c r="F45" s="43">
        <v>0.94358315658122771</v>
      </c>
      <c r="G45" s="143">
        <v>0.72654847909044262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18.619228493475145</v>
      </c>
      <c r="E49" s="100">
        <f>C5</f>
        <v>0.92567243017052803</v>
      </c>
      <c r="F49" s="97">
        <f>C6</f>
        <v>1.838158965571225E-4</v>
      </c>
      <c r="G49" s="100">
        <f>C7</f>
        <v>19.444042760141823</v>
      </c>
      <c r="H49" s="100">
        <f>C8</f>
        <v>0.82481426666667801</v>
      </c>
      <c r="I49" s="97">
        <f>C9</f>
        <v>4.6489913826930334E-3</v>
      </c>
    </row>
    <row r="50" spans="1:9">
      <c r="A50" s="65">
        <v>26</v>
      </c>
      <c r="B50" s="98">
        <v>13</v>
      </c>
      <c r="C50" s="99">
        <v>52</v>
      </c>
      <c r="D50" s="100">
        <f>D4</f>
        <v>158.76733333333334</v>
      </c>
      <c r="E50" s="100">
        <f>D5</f>
        <v>-2.9010456062291472</v>
      </c>
      <c r="F50" s="97">
        <f>D6</f>
        <v>0.79279884734982153</v>
      </c>
      <c r="G50" s="100">
        <f>D7</f>
        <v>150.06412062980175</v>
      </c>
      <c r="H50" s="100">
        <f>D8</f>
        <v>-5.4817401796748246</v>
      </c>
      <c r="I50" s="97">
        <f>D9</f>
        <v>0.51234404661012767</v>
      </c>
    </row>
    <row r="51" spans="1:9">
      <c r="A51" s="65">
        <v>26</v>
      </c>
      <c r="B51" s="98">
        <v>13</v>
      </c>
      <c r="C51" s="99">
        <v>54</v>
      </c>
      <c r="D51" s="100">
        <f>E4</f>
        <v>96.527730202215935</v>
      </c>
      <c r="E51" s="100">
        <f>E5</f>
        <v>8.9579419213433445E-2</v>
      </c>
      <c r="F51" s="97">
        <f>E6</f>
        <v>0.91161453232111767</v>
      </c>
      <c r="G51" s="100">
        <f>E7</f>
        <v>98.208976959003124</v>
      </c>
      <c r="H51" s="100">
        <f>E8</f>
        <v>1.6812467567871892</v>
      </c>
      <c r="I51" s="97">
        <f>E9</f>
        <v>0.11498222872077901</v>
      </c>
    </row>
    <row r="52" spans="1:9">
      <c r="A52" s="65">
        <v>26</v>
      </c>
      <c r="B52" s="98">
        <v>13</v>
      </c>
      <c r="C52" s="101">
        <v>55</v>
      </c>
      <c r="D52" s="100">
        <f>F4</f>
        <v>97.447729398540062</v>
      </c>
      <c r="E52" s="100">
        <f>F5</f>
        <v>8.9579419213433445E-2</v>
      </c>
      <c r="F52" s="97">
        <f>F6</f>
        <v>0.91161453232111767</v>
      </c>
      <c r="G52" s="100">
        <f>F7</f>
        <v>98.407685173956011</v>
      </c>
      <c r="H52" s="100">
        <f>F8</f>
        <v>0.98509814578638233</v>
      </c>
      <c r="I52" s="97">
        <f>F9</f>
        <v>0.60436687349343676</v>
      </c>
    </row>
    <row r="53" spans="1:9">
      <c r="A53" s="65">
        <v>26</v>
      </c>
      <c r="B53" s="98">
        <v>13</v>
      </c>
      <c r="C53" s="101">
        <v>56</v>
      </c>
      <c r="D53" s="100">
        <f>G4</f>
        <v>6.5831333744169021</v>
      </c>
      <c r="E53" s="100">
        <f>G5</f>
        <v>-0.21829759788584191</v>
      </c>
      <c r="F53" s="97">
        <f>G6</f>
        <v>1.9358303737367907E-2</v>
      </c>
      <c r="G53" s="100">
        <f>G7</f>
        <v>6.7465894946863596</v>
      </c>
      <c r="H53" s="100">
        <f>G8</f>
        <v>0.16345612026945755</v>
      </c>
      <c r="I53" s="97">
        <f>G9</f>
        <v>0.27066250584194695</v>
      </c>
    </row>
    <row r="54" spans="1:9">
      <c r="A54" s="65">
        <v>26</v>
      </c>
      <c r="B54" s="98">
        <v>14</v>
      </c>
      <c r="C54" s="99">
        <v>51</v>
      </c>
      <c r="D54" s="100">
        <f>C10</f>
        <v>10.291172582555841</v>
      </c>
      <c r="E54" s="100">
        <f>C11</f>
        <v>0.13970972861630693</v>
      </c>
      <c r="F54" s="97">
        <f>C12</f>
        <v>0.49941570499125931</v>
      </c>
      <c r="G54" s="100">
        <f>C13</f>
        <v>11.814976182555842</v>
      </c>
      <c r="H54" s="100">
        <f>C14</f>
        <v>1.5238036000000008</v>
      </c>
      <c r="I54" s="97">
        <f>C15</f>
        <v>3.1920048208306126E-6</v>
      </c>
    </row>
    <row r="55" spans="1:9">
      <c r="A55" s="65">
        <v>26</v>
      </c>
      <c r="B55" s="98">
        <v>14</v>
      </c>
      <c r="C55" s="99">
        <v>52</v>
      </c>
      <c r="D55" s="100">
        <f>D10</f>
        <v>101.02133333333336</v>
      </c>
      <c r="E55" s="100">
        <f>D11</f>
        <v>4.2886763070077887</v>
      </c>
      <c r="F55" s="97">
        <f>D12</f>
        <v>0.51359099421796306</v>
      </c>
      <c r="G55" s="100">
        <f>D13</f>
        <v>105.94774934149689</v>
      </c>
      <c r="H55" s="100">
        <f>D14</f>
        <v>4.8766095690978011</v>
      </c>
      <c r="I55" s="97">
        <f>D15</f>
        <v>0.55923306904080317</v>
      </c>
    </row>
    <row r="56" spans="1:9">
      <c r="A56" s="65">
        <v>26</v>
      </c>
      <c r="B56" s="98">
        <v>14</v>
      </c>
      <c r="C56" s="99">
        <v>54</v>
      </c>
      <c r="D56" s="100">
        <f>E10</f>
        <v>92.231288464583884</v>
      </c>
      <c r="E56" s="100">
        <f>E11</f>
        <v>1.1252217317815809</v>
      </c>
      <c r="F56" s="97">
        <f>E12</f>
        <v>0.44473453420725406</v>
      </c>
      <c r="G56" s="100">
        <f>E13</f>
        <v>98.278381600521072</v>
      </c>
      <c r="H56" s="100">
        <f>E14</f>
        <v>6.0470931359371889</v>
      </c>
      <c r="I56" s="97">
        <f>E15</f>
        <v>1.5028051371578933E-5</v>
      </c>
    </row>
    <row r="57" spans="1:9">
      <c r="A57" s="65">
        <v>26</v>
      </c>
      <c r="B57" s="98">
        <v>14</v>
      </c>
      <c r="C57" s="101">
        <v>55</v>
      </c>
      <c r="D57" s="100">
        <f>F10</f>
        <v>91.614407485233045</v>
      </c>
      <c r="E57" s="100">
        <f>F11</f>
        <v>1.1252217317815809</v>
      </c>
      <c r="F57" s="97">
        <f>F12</f>
        <v>0.44473453420725406</v>
      </c>
      <c r="G57" s="100">
        <f>F13</f>
        <v>91.798228278933863</v>
      </c>
      <c r="H57" s="100">
        <f>F14</f>
        <v>0.20064616335640034</v>
      </c>
      <c r="I57" s="97">
        <f>F15</f>
        <v>0.89850098898009922</v>
      </c>
    </row>
    <row r="58" spans="1:9">
      <c r="A58" s="65">
        <v>26</v>
      </c>
      <c r="B58" s="98">
        <v>14</v>
      </c>
      <c r="C58" s="101">
        <v>56</v>
      </c>
      <c r="D58" s="100">
        <f>G10</f>
        <v>5.9145714366256996</v>
      </c>
      <c r="E58" s="100">
        <f>G11</f>
        <v>0.11071321260208662</v>
      </c>
      <c r="F58" s="97">
        <f>G12</f>
        <v>0.33740934902500141</v>
      </c>
      <c r="G58" s="100">
        <f>G13</f>
        <v>6.3185493498806551</v>
      </c>
      <c r="H58" s="100">
        <f>G14</f>
        <v>0.40397791325495547</v>
      </c>
      <c r="I58" s="97">
        <f>G15</f>
        <v>5.5239299000979887E-3</v>
      </c>
    </row>
    <row r="59" spans="1:9">
      <c r="A59" s="65">
        <v>26</v>
      </c>
      <c r="B59" s="98">
        <v>15</v>
      </c>
      <c r="C59" s="99">
        <v>51</v>
      </c>
      <c r="D59" s="100">
        <f>C16</f>
        <v>1.8013333343830376</v>
      </c>
      <c r="E59" s="100">
        <f>C17</f>
        <v>1.1288008917133858</v>
      </c>
      <c r="F59" s="97">
        <f>C18</f>
        <v>3.5052187759424834E-2</v>
      </c>
      <c r="G59" s="100">
        <f>C19</f>
        <v>2.9959313343830374</v>
      </c>
      <c r="H59" s="100">
        <f>C20</f>
        <v>1.194598</v>
      </c>
      <c r="I59" s="97">
        <f>C21</f>
        <v>2.0865509439631936E-2</v>
      </c>
    </row>
    <row r="60" spans="1:9">
      <c r="A60" s="65">
        <v>26</v>
      </c>
      <c r="B60" s="98">
        <v>15</v>
      </c>
      <c r="C60" s="99">
        <v>52</v>
      </c>
      <c r="D60" s="100">
        <f>D16</f>
        <v>44.957333333333331</v>
      </c>
      <c r="E60" s="100">
        <f>D17</f>
        <v>1.9436707452725257</v>
      </c>
      <c r="F60" s="97">
        <f>D18</f>
        <v>0.62428080531185848</v>
      </c>
      <c r="G60" s="100">
        <f>D19</f>
        <v>45.726277138194881</v>
      </c>
      <c r="H60" s="100">
        <f>D20</f>
        <v>1.7103857098468571</v>
      </c>
      <c r="I60" s="97">
        <f>D21</f>
        <v>0.83864245520339165</v>
      </c>
    </row>
    <row r="61" spans="1:9">
      <c r="A61" s="65">
        <v>26</v>
      </c>
      <c r="B61" s="98">
        <v>15</v>
      </c>
      <c r="C61" s="99">
        <v>54</v>
      </c>
      <c r="D61" s="100">
        <f>E16</f>
        <v>86.251207660705262</v>
      </c>
      <c r="E61" s="100">
        <f>E17</f>
        <v>4.9077517815564029</v>
      </c>
      <c r="F61" s="97">
        <f>E18</f>
        <v>0.12290241231631016</v>
      </c>
      <c r="G61" s="100">
        <f>E19</f>
        <v>90.392020187232433</v>
      </c>
      <c r="H61" s="100">
        <f>E20</f>
        <v>4.1408125265271707</v>
      </c>
      <c r="I61" s="97">
        <f>E21</f>
        <v>4.7815551597047673E-2</v>
      </c>
    </row>
    <row r="62" spans="1:9">
      <c r="A62" s="65">
        <v>26</v>
      </c>
      <c r="B62" s="98">
        <v>15</v>
      </c>
      <c r="C62" s="101">
        <v>55</v>
      </c>
      <c r="D62" s="102">
        <f>F16</f>
        <v>76.158330112402794</v>
      </c>
      <c r="E62" s="100">
        <f>F17</f>
        <v>4.9077517815564029</v>
      </c>
      <c r="F62" s="97">
        <f>F18</f>
        <v>0.12290241231631016</v>
      </c>
      <c r="G62" s="100">
        <f>F19</f>
        <v>76.65491816392219</v>
      </c>
      <c r="H62" s="100">
        <f>F20</f>
        <v>0.65204692748183779</v>
      </c>
      <c r="I62" s="97">
        <f>F21</f>
        <v>0.79631704527774616</v>
      </c>
    </row>
    <row r="63" spans="1:9">
      <c r="A63" s="65">
        <v>26</v>
      </c>
      <c r="B63" s="98">
        <v>15</v>
      </c>
      <c r="C63" s="101">
        <v>56</v>
      </c>
      <c r="D63" s="102">
        <f>G16</f>
        <v>3.2792700193946103</v>
      </c>
      <c r="E63" s="100">
        <f>G17</f>
        <v>0.24371290773648227</v>
      </c>
      <c r="F63" s="97">
        <f>G18</f>
        <v>0.10536769827573929</v>
      </c>
      <c r="G63" s="100">
        <f>G19</f>
        <v>3.5076235010459027</v>
      </c>
      <c r="H63" s="100">
        <f>G20</f>
        <v>0.22835348165129243</v>
      </c>
      <c r="I63" s="97">
        <f>G21</f>
        <v>0.10530636441127283</v>
      </c>
    </row>
    <row r="64" spans="1:9">
      <c r="A64" s="65">
        <v>26</v>
      </c>
      <c r="B64" s="98">
        <v>16</v>
      </c>
      <c r="C64" s="99">
        <v>51</v>
      </c>
      <c r="D64" s="100">
        <f>C22</f>
        <v>-3.0154784504231915</v>
      </c>
      <c r="E64" s="103">
        <f>C23</f>
        <v>0.42492592580099342</v>
      </c>
      <c r="F64" s="104">
        <f>C24</f>
        <v>0.40935797613799862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107.47333333333334</v>
      </c>
      <c r="E65" s="103">
        <f>D23</f>
        <v>1.4171301446051199</v>
      </c>
      <c r="F65" s="104">
        <f>D24</f>
        <v>0.77510837616763129</v>
      </c>
      <c r="G65" s="100">
        <f>D25</f>
        <v>118.43924133817904</v>
      </c>
      <c r="H65" s="100">
        <f>D26</f>
        <v>10.20337572561786</v>
      </c>
      <c r="I65" s="97">
        <f>D27</f>
        <v>0.10683944061933548</v>
      </c>
    </row>
    <row r="66" spans="1:9">
      <c r="A66" s="65">
        <v>26</v>
      </c>
      <c r="B66" s="98">
        <v>16</v>
      </c>
      <c r="C66" s="99">
        <v>54</v>
      </c>
      <c r="D66" s="100">
        <f>E22</f>
        <v>90.055990768391894</v>
      </c>
      <c r="E66" s="103">
        <f>E23</f>
        <v>0.13645906347750458</v>
      </c>
      <c r="F66" s="104">
        <f>E24</f>
        <v>0.82189226265300908</v>
      </c>
      <c r="G66" s="100">
        <f>E25</f>
        <v>91.220179234662027</v>
      </c>
      <c r="H66" s="100">
        <f>E26</f>
        <v>1.1641884662701329</v>
      </c>
      <c r="I66" s="97">
        <f>E27</f>
        <v>0.51584237495775209</v>
      </c>
    </row>
    <row r="67" spans="1:9">
      <c r="A67" s="65">
        <v>26</v>
      </c>
      <c r="B67" s="98">
        <v>16</v>
      </c>
      <c r="C67" s="101">
        <v>55</v>
      </c>
      <c r="D67" s="105">
        <f>F22</f>
        <v>96.596901460709816</v>
      </c>
      <c r="E67" s="106">
        <f>F23</f>
        <v>0.13645906347750458</v>
      </c>
      <c r="F67" s="107">
        <f>F24</f>
        <v>0.82189226265300908</v>
      </c>
      <c r="G67" s="100">
        <f>F25</f>
        <v>96.11501667363865</v>
      </c>
      <c r="H67" s="100">
        <f>F26</f>
        <v>-0.49886153674107953</v>
      </c>
      <c r="I67" s="97">
        <f>F27</f>
        <v>0.34823321195731838</v>
      </c>
    </row>
    <row r="68" spans="1:9">
      <c r="A68" s="65">
        <v>26</v>
      </c>
      <c r="B68" s="98">
        <v>16</v>
      </c>
      <c r="C68" s="101">
        <v>56</v>
      </c>
      <c r="D68" s="108">
        <f>G22</f>
        <v>25.242999471139775</v>
      </c>
      <c r="E68" s="100">
        <f>G23</f>
        <v>0.7972362149603176</v>
      </c>
      <c r="F68" s="97">
        <f>G24</f>
        <v>0.35607013216536465</v>
      </c>
      <c r="G68" s="100">
        <f>G25</f>
        <v>25.431591675710127</v>
      </c>
      <c r="H68" s="100">
        <f>G23</f>
        <v>0.7972362149603176</v>
      </c>
      <c r="I68" s="97">
        <f>G24</f>
        <v>0.35607013216536465</v>
      </c>
    </row>
    <row r="69" spans="1:9">
      <c r="A69" s="65">
        <v>26</v>
      </c>
      <c r="B69" s="98">
        <v>17</v>
      </c>
      <c r="C69" s="99">
        <v>51</v>
      </c>
      <c r="D69" s="100">
        <f>C28</f>
        <v>8.0475123055400513</v>
      </c>
      <c r="E69" s="103">
        <f>C29</f>
        <v>0.41931434725224548</v>
      </c>
      <c r="F69" s="104">
        <f>C30</f>
        <v>9.3792792169577255E-2</v>
      </c>
      <c r="G69" s="100">
        <f>C31</f>
        <v>8.7935143833178273</v>
      </c>
      <c r="H69" s="100">
        <f>C32</f>
        <v>0.74600207777777605</v>
      </c>
      <c r="I69" s="97">
        <f>C33</f>
        <v>4.5813116413050206E-3</v>
      </c>
    </row>
    <row r="70" spans="1:9">
      <c r="A70" s="65">
        <v>26</v>
      </c>
      <c r="B70" s="98">
        <v>17</v>
      </c>
      <c r="C70" s="99">
        <v>52</v>
      </c>
      <c r="D70" s="100">
        <f>D28</f>
        <v>138.37100000000001</v>
      </c>
      <c r="E70" s="103">
        <f>D29</f>
        <v>10.314727474972196</v>
      </c>
      <c r="F70" s="104">
        <f>D30</f>
        <v>0.19130414955368369</v>
      </c>
      <c r="G70" s="100">
        <f>D31</f>
        <v>134.56736743399043</v>
      </c>
      <c r="H70" s="100">
        <f>D32</f>
        <v>-2.7488654168934152</v>
      </c>
      <c r="I70" s="97">
        <f>D33</f>
        <v>0.68007314834340948</v>
      </c>
    </row>
    <row r="71" spans="1:9">
      <c r="A71" s="65">
        <v>26</v>
      </c>
      <c r="B71" s="98">
        <v>17</v>
      </c>
      <c r="C71" s="99">
        <v>54</v>
      </c>
      <c r="D71" s="100">
        <f>E28</f>
        <v>98.065346412344681</v>
      </c>
      <c r="E71" s="103">
        <f>E29</f>
        <v>0.45630426387798456</v>
      </c>
      <c r="F71" s="104">
        <f>E30</f>
        <v>0.26775788156505043</v>
      </c>
      <c r="G71" s="100">
        <f>E31</f>
        <v>95.485827206216527</v>
      </c>
      <c r="H71" s="100">
        <f>E32</f>
        <v>-2.579519206128154</v>
      </c>
      <c r="I71" s="97">
        <f>E33</f>
        <v>2.0870233493332072E-2</v>
      </c>
    </row>
    <row r="72" spans="1:9">
      <c r="A72" s="65">
        <v>26</v>
      </c>
      <c r="B72" s="98">
        <v>17</v>
      </c>
      <c r="C72" s="101">
        <v>55</v>
      </c>
      <c r="D72" s="105">
        <f>F28</f>
        <v>98.499625043143666</v>
      </c>
      <c r="E72" s="106">
        <f>F29</f>
        <v>0.45630426387798456</v>
      </c>
      <c r="F72" s="107">
        <f>F30</f>
        <v>0.26775788156505043</v>
      </c>
      <c r="G72" s="100">
        <f>F31</f>
        <v>97.768666479960686</v>
      </c>
      <c r="H72" s="100">
        <f>F32</f>
        <v>-0.74209273676201204</v>
      </c>
      <c r="I72" s="97">
        <f>F33</f>
        <v>0.29985062052095379</v>
      </c>
    </row>
    <row r="73" spans="1:9">
      <c r="A73" s="65">
        <v>26</v>
      </c>
      <c r="B73" s="98">
        <v>17</v>
      </c>
      <c r="C73" s="101">
        <v>56</v>
      </c>
      <c r="D73" s="108">
        <f>G28</f>
        <v>34.776504994871097</v>
      </c>
      <c r="E73" s="100">
        <f>G29</f>
        <v>0.21774798706916731</v>
      </c>
      <c r="F73" s="97">
        <f>G30</f>
        <v>0.46270107597163657</v>
      </c>
      <c r="G73" s="100">
        <f>G31</f>
        <v>33.5953203514308</v>
      </c>
      <c r="H73" s="100">
        <f>G32</f>
        <v>-1.1811846434402966</v>
      </c>
      <c r="I73" s="97">
        <f>G33</f>
        <v>9.5488155603744782E-3</v>
      </c>
    </row>
    <row r="74" spans="1:9">
      <c r="A74" s="65">
        <v>26</v>
      </c>
      <c r="B74" s="98">
        <v>18</v>
      </c>
      <c r="C74" s="99">
        <v>51</v>
      </c>
      <c r="D74" s="100">
        <f>C34</f>
        <v>17.264177776124743</v>
      </c>
      <c r="E74" s="103">
        <f>C35</f>
        <v>0.52496254882416071</v>
      </c>
      <c r="F74" s="104">
        <f>C36</f>
        <v>7.294985659965772E-2</v>
      </c>
      <c r="G74" s="100">
        <f>C37</f>
        <v>18.289849709458068</v>
      </c>
      <c r="H74" s="100">
        <f>C38</f>
        <v>1.0256719333333262</v>
      </c>
      <c r="I74" s="97">
        <f>C39</f>
        <v>4.9655381913672346E-4</v>
      </c>
    </row>
    <row r="75" spans="1:9">
      <c r="A75" s="65">
        <v>26</v>
      </c>
      <c r="B75" s="98">
        <v>18</v>
      </c>
      <c r="C75" s="99">
        <v>52</v>
      </c>
      <c r="D75" s="100">
        <f>D34</f>
        <v>85.969999999999985</v>
      </c>
      <c r="E75" s="103">
        <f>D35</f>
        <v>-13.296774193548387</v>
      </c>
      <c r="F75" s="104">
        <f>D36</f>
        <v>9.1458254296141919E-2</v>
      </c>
      <c r="G75" s="100">
        <f>D37</f>
        <v>93.384912245752048</v>
      </c>
      <c r="H75" s="100">
        <f>D38</f>
        <v>8.6249997042597091</v>
      </c>
      <c r="I75" s="97">
        <f>D39</f>
        <v>0.35537168804925323</v>
      </c>
    </row>
    <row r="76" spans="1:9">
      <c r="A76" s="65">
        <v>26</v>
      </c>
      <c r="B76" s="98">
        <v>18</v>
      </c>
      <c r="C76" s="99">
        <v>54</v>
      </c>
      <c r="D76" s="100">
        <f>E34</f>
        <v>96.898123563873099</v>
      </c>
      <c r="E76" s="103">
        <f>E35</f>
        <v>5.6344559088396204</v>
      </c>
      <c r="F76" s="104">
        <f>E36</f>
        <v>0.12050395072675069</v>
      </c>
      <c r="G76" s="100">
        <f>E37</f>
        <v>96.899545251002777</v>
      </c>
      <c r="H76" s="100">
        <f>E38</f>
        <v>1.4216871296781619E-3</v>
      </c>
      <c r="I76" s="97">
        <f>E39</f>
        <v>0.99793628802527523</v>
      </c>
    </row>
    <row r="77" spans="1:9">
      <c r="A77" s="65">
        <v>26</v>
      </c>
      <c r="B77" s="98">
        <v>18</v>
      </c>
      <c r="C77" s="101">
        <v>55</v>
      </c>
      <c r="D77" s="105">
        <f>F34</f>
        <v>76.398134375986871</v>
      </c>
      <c r="E77" s="106">
        <f>F35</f>
        <v>5.6344559088396204</v>
      </c>
      <c r="F77" s="107">
        <f>F36</f>
        <v>0.12050395072675069</v>
      </c>
      <c r="G77" s="100">
        <f>F37</f>
        <v>71.615375165326242</v>
      </c>
      <c r="H77" s="100">
        <f>F38</f>
        <v>-6.2603089063964417</v>
      </c>
      <c r="I77" s="97">
        <f>F39</f>
        <v>0.31591955294513319</v>
      </c>
    </row>
    <row r="78" spans="1:9">
      <c r="A78" s="65">
        <v>26</v>
      </c>
      <c r="B78" s="98">
        <v>18</v>
      </c>
      <c r="C78" s="101">
        <v>56</v>
      </c>
      <c r="D78" s="108">
        <f>G34</f>
        <v>6.6501567166625879</v>
      </c>
      <c r="E78" s="100">
        <f>G35</f>
        <v>0.40239400676134313</v>
      </c>
      <c r="F78" s="97">
        <f>G36</f>
        <v>0.21425290000594877</v>
      </c>
      <c r="G78" s="100">
        <f>G37</f>
        <v>6.2448772476763059</v>
      </c>
      <c r="H78" s="100">
        <f>G38</f>
        <v>-0.40527946898628198</v>
      </c>
      <c r="I78" s="97">
        <f>G39</f>
        <v>0.30785676213451851</v>
      </c>
    </row>
    <row r="79" spans="1:9">
      <c r="A79" s="65">
        <v>26</v>
      </c>
      <c r="B79" s="98">
        <v>19</v>
      </c>
      <c r="C79" s="99">
        <v>51</v>
      </c>
      <c r="D79" s="100">
        <f>C40</f>
        <v>19.092801076417331</v>
      </c>
      <c r="E79" s="103">
        <f>C41</f>
        <v>1.1077415783923963</v>
      </c>
      <c r="F79" s="104">
        <f>C42</f>
        <v>8.9222560664785008E-4</v>
      </c>
      <c r="G79" s="100">
        <f>C43</f>
        <v>19.597747909750666</v>
      </c>
      <c r="H79" s="100">
        <f>C44</f>
        <v>0.50494683333333512</v>
      </c>
      <c r="I79" s="97">
        <f>C45</f>
        <v>0.13271428077937031</v>
      </c>
    </row>
    <row r="80" spans="1:9">
      <c r="A80" s="65">
        <v>26</v>
      </c>
      <c r="B80" s="98">
        <v>19</v>
      </c>
      <c r="C80" s="99">
        <v>52</v>
      </c>
      <c r="D80" s="100">
        <f>D40</f>
        <v>94.814000000000036</v>
      </c>
      <c r="E80" s="100">
        <f>D41</f>
        <v>-5.9030478309232439</v>
      </c>
      <c r="F80" s="104">
        <f>D42</f>
        <v>0.55657344538342068</v>
      </c>
      <c r="G80" s="100">
        <f>D43</f>
        <v>96.073506315915481</v>
      </c>
      <c r="H80" s="100">
        <f>D44</f>
        <v>1.3283969834786442</v>
      </c>
      <c r="I80" s="97">
        <f>D45</f>
        <v>0.9021759355457335</v>
      </c>
    </row>
    <row r="81" spans="1:9">
      <c r="A81" s="65">
        <v>26</v>
      </c>
      <c r="B81" s="98">
        <v>19</v>
      </c>
      <c r="C81" s="99">
        <v>54</v>
      </c>
      <c r="D81" s="100">
        <f>E40</f>
        <v>89.740471790883376</v>
      </c>
      <c r="E81" s="103">
        <f>E41</f>
        <v>2.5283893271693936</v>
      </c>
      <c r="F81" s="104">
        <f>E42</f>
        <v>0.56753038975157877</v>
      </c>
      <c r="G81" s="100">
        <f>E43</f>
        <v>93.295345733074967</v>
      </c>
      <c r="H81" s="100">
        <f>E44</f>
        <v>3.5548739421915911</v>
      </c>
      <c r="I81" s="97">
        <f>E45</f>
        <v>0.11386982550261993</v>
      </c>
    </row>
    <row r="82" spans="1:9">
      <c r="A82" s="65">
        <v>26</v>
      </c>
      <c r="B82" s="98">
        <v>19</v>
      </c>
      <c r="C82" s="101">
        <v>55</v>
      </c>
      <c r="D82" s="105">
        <f>F40</f>
        <v>67.352819960420021</v>
      </c>
      <c r="E82" s="106">
        <f>F41</f>
        <v>2.5283893271693936</v>
      </c>
      <c r="F82" s="107">
        <f>F42</f>
        <v>0.56753038975157877</v>
      </c>
      <c r="G82" s="100">
        <f>F43</f>
        <v>66.989485026075229</v>
      </c>
      <c r="H82" s="100">
        <f>F44</f>
        <v>-0.53945021835508244</v>
      </c>
      <c r="I82" s="97">
        <f>F45</f>
        <v>0.94358315658122771</v>
      </c>
    </row>
    <row r="83" spans="1:9">
      <c r="A83" s="65">
        <v>26</v>
      </c>
      <c r="B83" s="98">
        <v>19</v>
      </c>
      <c r="C83" s="101">
        <v>56</v>
      </c>
      <c r="D83" s="108">
        <f>G40</f>
        <v>4.2875725824322375</v>
      </c>
      <c r="E83" s="106">
        <f>G41</f>
        <v>0.40319292471749574</v>
      </c>
      <c r="F83" s="109">
        <f>G42</f>
        <v>0.2079609580955547</v>
      </c>
      <c r="G83" s="100">
        <f>G43</f>
        <v>4.4062260201990728</v>
      </c>
      <c r="H83" s="100">
        <f>G44</f>
        <v>0.1186534377668349</v>
      </c>
      <c r="I83" s="97">
        <f>G45</f>
        <v>0.72654847909044262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8"/>
  <dimension ref="A1:O83"/>
  <sheetViews>
    <sheetView topLeftCell="A34" workbookViewId="0">
      <selection activeCell="D39" sqref="D39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1" width="9.28515625" style="27" bestFit="1" customWidth="1"/>
    <col min="12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20.072150538044596</v>
      </c>
      <c r="D4" s="31">
        <v>170.1991666599798</v>
      </c>
      <c r="E4" s="30">
        <v>90.007753713518568</v>
      </c>
      <c r="F4" s="30">
        <v>96.838022807593177</v>
      </c>
      <c r="G4" s="130">
        <v>6.100390606092942</v>
      </c>
    </row>
    <row r="5" spans="1:8" ht="18.75">
      <c r="A5" s="178"/>
      <c r="B5" s="21" t="s">
        <v>17</v>
      </c>
      <c r="C5" s="131">
        <v>7.6833373385726211E-2</v>
      </c>
      <c r="D5" s="33">
        <v>16.572480537585786</v>
      </c>
      <c r="E5" s="34">
        <v>-1.5892165748036109</v>
      </c>
      <c r="F5" s="34">
        <v>-1.5892165748036109</v>
      </c>
      <c r="G5" s="132">
        <v>-0.46245250935642562</v>
      </c>
    </row>
    <row r="6" spans="1:8">
      <c r="A6" s="178"/>
      <c r="B6" s="22" t="s">
        <v>18</v>
      </c>
      <c r="C6" s="133">
        <v>2.1724456569104667E-4</v>
      </c>
      <c r="D6" s="37">
        <v>0.12207954258820286</v>
      </c>
      <c r="E6" s="37">
        <v>4.9540986400426076E-2</v>
      </c>
      <c r="F6" s="37">
        <v>4.9540986400426076E-2</v>
      </c>
      <c r="G6" s="134">
        <v>1.2386511543935002E-4</v>
      </c>
    </row>
    <row r="7" spans="1:8" ht="18.75">
      <c r="A7" s="178"/>
      <c r="B7" s="23" t="s">
        <v>19</v>
      </c>
      <c r="C7" s="78">
        <v>21.081707054711263</v>
      </c>
      <c r="D7" s="38">
        <v>170.2914344682716</v>
      </c>
      <c r="E7" s="112">
        <v>90.634977943729695</v>
      </c>
      <c r="F7" s="10">
        <v>96.022760041568702</v>
      </c>
      <c r="G7" s="113">
        <v>5.9850199594205185</v>
      </c>
    </row>
    <row r="8" spans="1:8" ht="18.75">
      <c r="A8" s="178"/>
      <c r="B8" s="21" t="s">
        <v>20</v>
      </c>
      <c r="C8" s="135">
        <v>1.0095565166666667</v>
      </c>
      <c r="D8" s="40">
        <v>5.4211668660003078E-2</v>
      </c>
      <c r="E8" s="136">
        <v>0.62722423021112661</v>
      </c>
      <c r="F8" s="10">
        <v>-0.8418829116785258</v>
      </c>
      <c r="G8" s="137">
        <v>-0.11537064667242358</v>
      </c>
    </row>
    <row r="9" spans="1:8" ht="16.5" thickBot="1">
      <c r="A9" s="179"/>
      <c r="B9" s="25" t="s">
        <v>21</v>
      </c>
      <c r="C9" s="146">
        <v>1.4440593067817124E-3</v>
      </c>
      <c r="D9" s="139">
        <v>0.99491599911484152</v>
      </c>
      <c r="E9" s="147">
        <v>0.57219203613302683</v>
      </c>
      <c r="F9" s="47">
        <v>0.60371994333463586</v>
      </c>
      <c r="G9" s="141">
        <v>0.37050438452878043</v>
      </c>
    </row>
    <row r="10" spans="1:8" ht="18.75">
      <c r="A10" s="180" t="s">
        <v>2</v>
      </c>
      <c r="B10" s="20" t="s">
        <v>16</v>
      </c>
      <c r="C10" s="129">
        <v>12.314433245373673</v>
      </c>
      <c r="D10" s="31">
        <v>139.859083325152</v>
      </c>
      <c r="E10" s="30">
        <v>98.493298728883843</v>
      </c>
      <c r="F10" s="30">
        <v>94.397079056978072</v>
      </c>
      <c r="G10" s="130">
        <v>6.5084781194037324</v>
      </c>
    </row>
    <row r="11" spans="1:8" ht="18.75">
      <c r="A11" s="178"/>
      <c r="B11" s="21" t="s">
        <v>17</v>
      </c>
      <c r="C11" s="131">
        <v>-8.4726743820598707E-2</v>
      </c>
      <c r="D11" s="34">
        <v>9.1190822803953395</v>
      </c>
      <c r="E11" s="34">
        <v>1.1132936148967596</v>
      </c>
      <c r="F11" s="34">
        <v>1.1132936148967596</v>
      </c>
      <c r="G11" s="132">
        <v>7.3074342469108849E-2</v>
      </c>
    </row>
    <row r="12" spans="1:8">
      <c r="A12" s="178"/>
      <c r="B12" s="22" t="s">
        <v>18</v>
      </c>
      <c r="C12" s="133">
        <v>0.69938124198218599</v>
      </c>
      <c r="D12" s="37">
        <v>0.44839060714221113</v>
      </c>
      <c r="E12" s="37">
        <v>0.41469125780899985</v>
      </c>
      <c r="F12" s="37">
        <v>0.41469125780899985</v>
      </c>
      <c r="G12" s="134">
        <v>0.45710956839035266</v>
      </c>
    </row>
    <row r="13" spans="1:8" ht="18.75">
      <c r="A13" s="178"/>
      <c r="B13" s="23" t="s">
        <v>19</v>
      </c>
      <c r="C13" s="78">
        <v>13.740175595373673</v>
      </c>
      <c r="D13" s="38">
        <v>141.1550258137176</v>
      </c>
      <c r="E13" s="148">
        <v>102.14240198887332</v>
      </c>
      <c r="F13" s="10">
        <v>98.240869071712297</v>
      </c>
      <c r="G13" s="113">
        <v>7.1012450513104488</v>
      </c>
    </row>
    <row r="14" spans="1:8" ht="18.75">
      <c r="A14" s="178"/>
      <c r="B14" s="21" t="s">
        <v>20</v>
      </c>
      <c r="C14" s="135">
        <v>1.4257423500000002</v>
      </c>
      <c r="D14" s="10">
        <v>0.92660587911385683</v>
      </c>
      <c r="E14" s="11">
        <v>3.6491032599894737</v>
      </c>
      <c r="F14" s="10">
        <v>4.0719374509608715</v>
      </c>
      <c r="G14" s="137">
        <v>0.59276693190671637</v>
      </c>
    </row>
    <row r="15" spans="1:8" ht="16.5" thickBot="1">
      <c r="A15" s="181"/>
      <c r="B15" s="26" t="s">
        <v>21</v>
      </c>
      <c r="C15" s="149">
        <v>3.572151504709832E-5</v>
      </c>
      <c r="D15" s="48">
        <v>0.93155968817339729</v>
      </c>
      <c r="E15" s="121">
        <v>3.8334840042841952E-4</v>
      </c>
      <c r="F15" s="43">
        <v>0.2866072629150993</v>
      </c>
      <c r="G15" s="143">
        <v>1.6103711049437034E-2</v>
      </c>
    </row>
    <row r="16" spans="1:8" ht="18.75">
      <c r="A16" s="177" t="s">
        <v>3</v>
      </c>
      <c r="B16" s="24" t="s">
        <v>16</v>
      </c>
      <c r="C16" s="144">
        <v>4.1708888889580136</v>
      </c>
      <c r="D16" s="45">
        <v>66.486166716460119</v>
      </c>
      <c r="E16" s="44">
        <v>93.50999789397882</v>
      </c>
      <c r="F16" s="44">
        <v>86.388596063754932</v>
      </c>
      <c r="G16" s="145">
        <v>4.0457716044732761</v>
      </c>
    </row>
    <row r="17" spans="1:7" ht="18.75">
      <c r="A17" s="178"/>
      <c r="B17" s="21" t="s">
        <v>17</v>
      </c>
      <c r="C17" s="131">
        <v>1.1532936369638949</v>
      </c>
      <c r="D17" s="34">
        <v>7.931935563345748</v>
      </c>
      <c r="E17" s="34">
        <v>3.4969975821070243</v>
      </c>
      <c r="F17" s="34">
        <v>3.4969975821070243</v>
      </c>
      <c r="G17" s="132">
        <v>0.19196489282156529</v>
      </c>
    </row>
    <row r="18" spans="1:7">
      <c r="A18" s="178"/>
      <c r="B18" s="22" t="s">
        <v>18</v>
      </c>
      <c r="C18" s="133">
        <v>1.8704847505002842E-2</v>
      </c>
      <c r="D18" s="37">
        <v>0.15332504277728243</v>
      </c>
      <c r="E18" s="37">
        <v>0.14149607193340163</v>
      </c>
      <c r="F18" s="37">
        <v>0.14149607193340163</v>
      </c>
      <c r="G18" s="134">
        <v>0.18080991263076618</v>
      </c>
    </row>
    <row r="19" spans="1:7" ht="18.75">
      <c r="A19" s="178"/>
      <c r="B19" s="23" t="s">
        <v>19</v>
      </c>
      <c r="C19" s="78">
        <v>4.9175958556246799</v>
      </c>
      <c r="D19" s="38">
        <v>61.411097468803625</v>
      </c>
      <c r="E19" s="112">
        <v>91.733538132994539</v>
      </c>
      <c r="F19" s="10">
        <v>85.300419554501531</v>
      </c>
      <c r="G19" s="113">
        <v>4.1871709547974145</v>
      </c>
    </row>
    <row r="20" spans="1:7" ht="18.75">
      <c r="A20" s="178"/>
      <c r="B20" s="21" t="s">
        <v>20</v>
      </c>
      <c r="C20" s="135">
        <v>0.74670696666666636</v>
      </c>
      <c r="D20" s="10">
        <v>-7.6332709468720967</v>
      </c>
      <c r="E20" s="11">
        <v>-1.7764597609842809</v>
      </c>
      <c r="F20" s="10">
        <v>-1.2596298109189377</v>
      </c>
      <c r="G20" s="137">
        <v>0.14139935032413842</v>
      </c>
    </row>
    <row r="21" spans="1:7" ht="16.5" thickBot="1">
      <c r="A21" s="179"/>
      <c r="B21" s="25" t="s">
        <v>21</v>
      </c>
      <c r="C21" s="146">
        <v>8.9611998202252935E-2</v>
      </c>
      <c r="D21" s="46">
        <v>0.43284445929564852</v>
      </c>
      <c r="E21" s="89">
        <v>0.15012805709320554</v>
      </c>
      <c r="F21" s="47">
        <v>0.58384572385297195</v>
      </c>
      <c r="G21" s="141">
        <v>0.28917715576780234</v>
      </c>
    </row>
    <row r="22" spans="1:7" ht="18.75">
      <c r="A22" s="180" t="s">
        <v>4</v>
      </c>
      <c r="B22" s="20" t="s">
        <v>16</v>
      </c>
      <c r="C22" s="129">
        <v>-1.1242712177506331</v>
      </c>
      <c r="D22" s="31">
        <v>200.10725007710667</v>
      </c>
      <c r="E22" s="30">
        <v>94.978074710188267</v>
      </c>
      <c r="F22" s="30">
        <v>97.40795643764902</v>
      </c>
      <c r="G22" s="130">
        <v>26.827341276369555</v>
      </c>
    </row>
    <row r="23" spans="1:7" ht="18.75">
      <c r="A23" s="178"/>
      <c r="B23" s="21" t="s">
        <v>17</v>
      </c>
      <c r="C23" s="131">
        <v>0.5592244260655822</v>
      </c>
      <c r="D23" s="34">
        <v>7.8322748514741471</v>
      </c>
      <c r="E23" s="34">
        <v>8.265497545883278</v>
      </c>
      <c r="F23" s="34">
        <v>8.265497545883278</v>
      </c>
      <c r="G23" s="132">
        <v>0.30550266704734474</v>
      </c>
    </row>
    <row r="24" spans="1:7">
      <c r="A24" s="178"/>
      <c r="B24" s="22" t="s">
        <v>18</v>
      </c>
      <c r="C24" s="133">
        <v>0.16603879002962274</v>
      </c>
      <c r="D24" s="37">
        <v>0.46137063396547073</v>
      </c>
      <c r="E24" s="37">
        <v>0.8827161384615142</v>
      </c>
      <c r="F24" s="37">
        <v>0.8827161384615142</v>
      </c>
      <c r="G24" s="134">
        <v>0.46085004680203012</v>
      </c>
    </row>
    <row r="25" spans="1:7" ht="18.75">
      <c r="A25" s="178"/>
      <c r="B25" s="23" t="s">
        <v>19</v>
      </c>
      <c r="C25" s="78">
        <v>-0.2028229993598285</v>
      </c>
      <c r="D25" s="38">
        <v>223.93701600909995</v>
      </c>
      <c r="E25" s="112">
        <v>92.445324470881971</v>
      </c>
      <c r="F25" s="10">
        <v>94.422335523156491</v>
      </c>
      <c r="G25" s="113">
        <v>26.345482213116945</v>
      </c>
    </row>
    <row r="26" spans="1:7" ht="18.75">
      <c r="A26" s="178"/>
      <c r="B26" s="21" t="s">
        <v>20</v>
      </c>
      <c r="C26" s="135">
        <v>0.9214482183908046</v>
      </c>
      <c r="D26" s="10">
        <v>11.908497029873242</v>
      </c>
      <c r="E26" s="11">
        <v>-2.5327502393062957</v>
      </c>
      <c r="F26" s="10">
        <v>-3.0650688338828163</v>
      </c>
      <c r="G26" s="115">
        <v>-0.4818590632526103</v>
      </c>
    </row>
    <row r="27" spans="1:7" ht="16.5" thickBot="1">
      <c r="A27" s="181"/>
      <c r="B27" s="26" t="s">
        <v>21</v>
      </c>
      <c r="C27" s="149">
        <v>1.996808353131373E-2</v>
      </c>
      <c r="D27" s="48">
        <v>5.4053233861164555E-2</v>
      </c>
      <c r="E27" s="121">
        <v>0.14817687935756685</v>
      </c>
      <c r="F27" s="43">
        <v>0.10107268956306659</v>
      </c>
      <c r="G27" s="122">
        <v>0.4854150978403593</v>
      </c>
    </row>
    <row r="28" spans="1:7" ht="18.75">
      <c r="A28" s="177" t="s">
        <v>5</v>
      </c>
      <c r="B28" s="24" t="s">
        <v>16</v>
      </c>
      <c r="C28" s="144">
        <v>10.230442953242909</v>
      </c>
      <c r="D28" s="45">
        <v>197.0685555579968</v>
      </c>
      <c r="E28" s="44">
        <v>89.00626513971028</v>
      </c>
      <c r="F28" s="44">
        <v>98.252814514771941</v>
      </c>
      <c r="G28" s="145">
        <v>31.480635446581012</v>
      </c>
    </row>
    <row r="29" spans="1:7" ht="18.75">
      <c r="A29" s="178"/>
      <c r="B29" s="21" t="s">
        <v>17</v>
      </c>
      <c r="C29" s="131">
        <v>0.30105104956208445</v>
      </c>
      <c r="D29" s="34">
        <v>2.5692324610934056</v>
      </c>
      <c r="E29" s="34">
        <v>-0.69100207077605247</v>
      </c>
      <c r="F29" s="34">
        <v>-0.69100207077605247</v>
      </c>
      <c r="G29" s="132">
        <v>-1.2185821185658892</v>
      </c>
    </row>
    <row r="30" spans="1:7">
      <c r="A30" s="178"/>
      <c r="B30" s="22" t="s">
        <v>18</v>
      </c>
      <c r="C30" s="133">
        <v>0.19333509741332899</v>
      </c>
      <c r="D30" s="37">
        <v>0.82856863681627257</v>
      </c>
      <c r="E30" s="49">
        <v>0.15417254459367291</v>
      </c>
      <c r="F30" s="49">
        <v>0.15417254459367291</v>
      </c>
      <c r="G30" s="134">
        <v>4.5476199120203932E-2</v>
      </c>
    </row>
    <row r="31" spans="1:7" ht="18.75">
      <c r="A31" s="178"/>
      <c r="B31" s="23" t="s">
        <v>19</v>
      </c>
      <c r="C31" s="78">
        <v>10.958622586576242</v>
      </c>
      <c r="D31" s="38">
        <v>205.27063081771513</v>
      </c>
      <c r="E31" s="112">
        <v>84.006376567691831</v>
      </c>
      <c r="F31" s="10">
        <v>96.857727730759663</v>
      </c>
      <c r="G31" s="113">
        <v>29.852965106893187</v>
      </c>
    </row>
    <row r="32" spans="1:7" ht="18.75">
      <c r="A32" s="178"/>
      <c r="B32" s="21" t="s">
        <v>20</v>
      </c>
      <c r="C32" s="135">
        <v>0.72817963333333324</v>
      </c>
      <c r="D32" s="10">
        <v>4.162041598414457</v>
      </c>
      <c r="E32" s="11">
        <v>-4.9998885720184489</v>
      </c>
      <c r="F32" s="10">
        <v>-1.4198949830618202</v>
      </c>
      <c r="G32" s="115">
        <v>-1.6276703396878247</v>
      </c>
    </row>
    <row r="33" spans="1:15" ht="16.5" thickBot="1">
      <c r="A33" s="179"/>
      <c r="B33" s="25" t="s">
        <v>21</v>
      </c>
      <c r="C33" s="146">
        <v>1.4086205589677334E-3</v>
      </c>
      <c r="D33" s="46">
        <v>0.46602793060758041</v>
      </c>
      <c r="E33" s="117">
        <v>6.5206378669129125E-4</v>
      </c>
      <c r="F33" s="47">
        <v>0.20916163182788217</v>
      </c>
      <c r="G33" s="118">
        <v>4.0887511511922894E-3</v>
      </c>
    </row>
    <row r="34" spans="1:15" ht="18.75">
      <c r="A34" s="177" t="s">
        <v>6</v>
      </c>
      <c r="B34" s="24" t="s">
        <v>16</v>
      </c>
      <c r="C34" s="129">
        <v>18.447527776029371</v>
      </c>
      <c r="D34" s="31">
        <v>86.420833306604337</v>
      </c>
      <c r="E34" s="30">
        <v>93.522864339762378</v>
      </c>
      <c r="F34" s="30">
        <v>76.395722185572154</v>
      </c>
      <c r="G34" s="130">
        <v>6.4192456501792767</v>
      </c>
    </row>
    <row r="35" spans="1:15" ht="18.75">
      <c r="A35" s="178"/>
      <c r="B35" s="21" t="s">
        <v>17</v>
      </c>
      <c r="C35" s="131">
        <v>0.7144536270972337</v>
      </c>
      <c r="D35" s="34">
        <v>-8.7007829333172471E-2</v>
      </c>
      <c r="E35" s="34">
        <v>-0.29457420331082113</v>
      </c>
      <c r="F35" s="34">
        <v>-0.29457420331082113</v>
      </c>
      <c r="G35" s="132">
        <v>-0.247715256630029</v>
      </c>
    </row>
    <row r="36" spans="1:15">
      <c r="A36" s="178"/>
      <c r="B36" s="22" t="s">
        <v>18</v>
      </c>
      <c r="C36" s="133">
        <v>2.3261683613409797E-3</v>
      </c>
      <c r="D36" s="37">
        <v>0.99037751106764171</v>
      </c>
      <c r="E36" s="37">
        <v>0.92611192036122203</v>
      </c>
      <c r="F36" s="37">
        <v>0.92611192036122203</v>
      </c>
      <c r="G36" s="134">
        <v>0.35576796601174598</v>
      </c>
    </row>
    <row r="37" spans="1:15" ht="18.75">
      <c r="A37" s="178"/>
      <c r="B37" s="23" t="s">
        <v>19</v>
      </c>
      <c r="C37" s="78">
        <v>19.50086794269604</v>
      </c>
      <c r="D37" s="38">
        <v>88.928571079814063</v>
      </c>
      <c r="E37" s="112">
        <v>92.43058103173415</v>
      </c>
      <c r="F37" s="10">
        <v>74.875347405637683</v>
      </c>
      <c r="G37" s="113">
        <v>6.1510080894971662</v>
      </c>
    </row>
    <row r="38" spans="1:15" ht="18.75">
      <c r="A38" s="178"/>
      <c r="B38" s="21" t="s">
        <v>20</v>
      </c>
      <c r="C38" s="135">
        <v>1.0533401666666666</v>
      </c>
      <c r="D38" s="10">
        <v>2.9017745805722064</v>
      </c>
      <c r="E38" s="11">
        <v>-1.0922833080282288</v>
      </c>
      <c r="F38" s="10">
        <v>-1.9901307775340376</v>
      </c>
      <c r="G38" s="115">
        <v>-0.26823756068211058</v>
      </c>
    </row>
    <row r="39" spans="1:15" ht="16.5" thickBot="1">
      <c r="A39" s="179"/>
      <c r="B39" s="25" t="s">
        <v>21</v>
      </c>
      <c r="C39" s="149">
        <v>2.6747807877713554E-3</v>
      </c>
      <c r="D39" s="48">
        <v>0.75430719744174313</v>
      </c>
      <c r="E39" s="121">
        <v>0.1664588049270429</v>
      </c>
      <c r="F39" s="43">
        <v>0.74874753956545104</v>
      </c>
      <c r="G39" s="122">
        <v>0.47934526070283534</v>
      </c>
    </row>
    <row r="40" spans="1:15" ht="18.75">
      <c r="A40" s="180" t="s">
        <v>7</v>
      </c>
      <c r="B40" s="20" t="s">
        <v>16</v>
      </c>
      <c r="C40" s="144">
        <v>20.355403222473722</v>
      </c>
      <c r="D40" s="45">
        <v>91.456500013296804</v>
      </c>
      <c r="E40" s="44">
        <v>95.283787353864</v>
      </c>
      <c r="F40" s="44">
        <v>68.716442613663588</v>
      </c>
      <c r="G40" s="145">
        <v>4.6056155242533459</v>
      </c>
    </row>
    <row r="41" spans="1:15" ht="18.75">
      <c r="A41" s="178"/>
      <c r="B41" s="21" t="s">
        <v>17</v>
      </c>
      <c r="C41" s="131">
        <v>0.7967834005955523</v>
      </c>
      <c r="D41" s="34">
        <v>7.1862402858048942</v>
      </c>
      <c r="E41" s="34">
        <v>-0.29457420331082113</v>
      </c>
      <c r="F41" s="34">
        <v>-0.29457420331082113</v>
      </c>
      <c r="G41" s="132">
        <v>-0.12423550880972511</v>
      </c>
    </row>
    <row r="42" spans="1:15">
      <c r="A42" s="178"/>
      <c r="B42" s="22" t="s">
        <v>18</v>
      </c>
      <c r="C42" s="133">
        <v>6.5218148915529165E-3</v>
      </c>
      <c r="D42" s="37">
        <v>0.47101567920526644</v>
      </c>
      <c r="E42" s="49">
        <v>0.92611192036122203</v>
      </c>
      <c r="F42" s="49">
        <v>0.92611192036122203</v>
      </c>
      <c r="G42" s="134">
        <v>0.71063147165963225</v>
      </c>
    </row>
    <row r="43" spans="1:15" ht="18.75">
      <c r="A43" s="178"/>
      <c r="B43" s="23" t="s">
        <v>19</v>
      </c>
      <c r="C43" s="78">
        <v>21.070618089140389</v>
      </c>
      <c r="D43" s="38">
        <v>99.646444752400413</v>
      </c>
      <c r="E43" s="112">
        <v>100.05376590466179</v>
      </c>
      <c r="F43" s="10">
        <v>65.0215614465546</v>
      </c>
      <c r="G43" s="113">
        <v>4.5493800555824766</v>
      </c>
    </row>
    <row r="44" spans="1:15" ht="18.75">
      <c r="A44" s="178"/>
      <c r="B44" s="21" t="s">
        <v>20</v>
      </c>
      <c r="C44" s="135">
        <v>0.71521486666666689</v>
      </c>
      <c r="D44" s="10">
        <v>8.9550165793714722</v>
      </c>
      <c r="E44" s="11">
        <v>4.7699785507977879</v>
      </c>
      <c r="F44" s="10">
        <v>-5.3769971590093588</v>
      </c>
      <c r="G44" s="137">
        <v>-5.623546867086926E-2</v>
      </c>
    </row>
    <row r="45" spans="1:15" ht="16.5" thickBot="1">
      <c r="A45" s="179"/>
      <c r="B45" s="25" t="s">
        <v>21</v>
      </c>
      <c r="C45" s="149">
        <v>4.841042494045112E-2</v>
      </c>
      <c r="D45" s="48">
        <v>0.4212080400883661</v>
      </c>
      <c r="E45" s="121">
        <v>2.8033097756584215E-2</v>
      </c>
      <c r="F45" s="43">
        <v>0.41856499156636251</v>
      </c>
      <c r="G45" s="143">
        <v>0.85942439921524938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20.072150538044596</v>
      </c>
      <c r="E49" s="100">
        <f>C5</f>
        <v>7.6833373385726211E-2</v>
      </c>
      <c r="F49" s="97">
        <f>C6</f>
        <v>2.1724456569104667E-4</v>
      </c>
      <c r="G49" s="100">
        <f>C7</f>
        <v>21.081707054711263</v>
      </c>
      <c r="H49" s="100">
        <f>C8</f>
        <v>1.0095565166666667</v>
      </c>
      <c r="I49" s="97">
        <f>C9</f>
        <v>1.4440593067817124E-3</v>
      </c>
    </row>
    <row r="50" spans="1:9">
      <c r="A50" s="65">
        <v>26</v>
      </c>
      <c r="B50" s="98">
        <v>13</v>
      </c>
      <c r="C50" s="99">
        <v>52</v>
      </c>
      <c r="D50" s="100">
        <f>D4</f>
        <v>170.1991666599798</v>
      </c>
      <c r="E50" s="100">
        <f>D5</f>
        <v>16.572480537585786</v>
      </c>
      <c r="F50" s="97">
        <f>D6</f>
        <v>0.12207954258820286</v>
      </c>
      <c r="G50" s="100">
        <f>D7</f>
        <v>170.2914344682716</v>
      </c>
      <c r="H50" s="100">
        <f>D8</f>
        <v>5.4211668660003078E-2</v>
      </c>
      <c r="I50" s="97">
        <f>D9</f>
        <v>0.99491599911484152</v>
      </c>
    </row>
    <row r="51" spans="1:9">
      <c r="A51" s="65">
        <v>26</v>
      </c>
      <c r="B51" s="98">
        <v>13</v>
      </c>
      <c r="C51" s="99">
        <v>54</v>
      </c>
      <c r="D51" s="100">
        <f>E4</f>
        <v>90.007753713518568</v>
      </c>
      <c r="E51" s="100">
        <f>E5</f>
        <v>-1.5892165748036109</v>
      </c>
      <c r="F51" s="97">
        <f>E6</f>
        <v>4.9540986400426076E-2</v>
      </c>
      <c r="G51" s="100">
        <f>E7</f>
        <v>90.634977943729695</v>
      </c>
      <c r="H51" s="100">
        <f>E8</f>
        <v>0.62722423021112661</v>
      </c>
      <c r="I51" s="97">
        <f>E9</f>
        <v>0.57219203613302683</v>
      </c>
    </row>
    <row r="52" spans="1:9">
      <c r="A52" s="65">
        <v>26</v>
      </c>
      <c r="B52" s="98">
        <v>13</v>
      </c>
      <c r="C52" s="101">
        <v>55</v>
      </c>
      <c r="D52" s="100">
        <f>F4</f>
        <v>96.838022807593177</v>
      </c>
      <c r="E52" s="100">
        <f>F5</f>
        <v>-1.5892165748036109</v>
      </c>
      <c r="F52" s="97">
        <f>F6</f>
        <v>4.9540986400426076E-2</v>
      </c>
      <c r="G52" s="100">
        <f>F7</f>
        <v>96.022760041568702</v>
      </c>
      <c r="H52" s="100">
        <f>F8</f>
        <v>-0.8418829116785258</v>
      </c>
      <c r="I52" s="97">
        <f>F9</f>
        <v>0.60371994333463586</v>
      </c>
    </row>
    <row r="53" spans="1:9">
      <c r="A53" s="65">
        <v>26</v>
      </c>
      <c r="B53" s="98">
        <v>13</v>
      </c>
      <c r="C53" s="101">
        <v>56</v>
      </c>
      <c r="D53" s="100">
        <f>G4</f>
        <v>6.100390606092942</v>
      </c>
      <c r="E53" s="100">
        <f>G5</f>
        <v>-0.46245250935642562</v>
      </c>
      <c r="F53" s="97">
        <f>G6</f>
        <v>1.2386511543935002E-4</v>
      </c>
      <c r="G53" s="100">
        <f>G7</f>
        <v>5.9850199594205185</v>
      </c>
      <c r="H53" s="100">
        <f>G8</f>
        <v>-0.11537064667242358</v>
      </c>
      <c r="I53" s="97">
        <f>G9</f>
        <v>0.37050438452878043</v>
      </c>
    </row>
    <row r="54" spans="1:9">
      <c r="A54" s="65">
        <v>26</v>
      </c>
      <c r="B54" s="98">
        <v>14</v>
      </c>
      <c r="C54" s="99">
        <v>51</v>
      </c>
      <c r="D54" s="100">
        <f>C10</f>
        <v>12.314433245373673</v>
      </c>
      <c r="E54" s="100">
        <f>C11</f>
        <v>-8.4726743820598707E-2</v>
      </c>
      <c r="F54" s="97">
        <f>C12</f>
        <v>0.69938124198218599</v>
      </c>
      <c r="G54" s="100">
        <f>C13</f>
        <v>13.740175595373673</v>
      </c>
      <c r="H54" s="100">
        <f>C14</f>
        <v>1.4257423500000002</v>
      </c>
      <c r="I54" s="97">
        <f>C15</f>
        <v>3.572151504709832E-5</v>
      </c>
    </row>
    <row r="55" spans="1:9">
      <c r="A55" s="65">
        <v>26</v>
      </c>
      <c r="B55" s="98">
        <v>14</v>
      </c>
      <c r="C55" s="99">
        <v>52</v>
      </c>
      <c r="D55" s="100">
        <f>D10</f>
        <v>139.859083325152</v>
      </c>
      <c r="E55" s="100">
        <f>D11</f>
        <v>9.1190822803953395</v>
      </c>
      <c r="F55" s="97">
        <f>D12</f>
        <v>0.44839060714221113</v>
      </c>
      <c r="G55" s="100">
        <f>D13</f>
        <v>141.1550258137176</v>
      </c>
      <c r="H55" s="100">
        <f>D14</f>
        <v>0.92660587911385683</v>
      </c>
      <c r="I55" s="97">
        <f>D15</f>
        <v>0.93155968817339729</v>
      </c>
    </row>
    <row r="56" spans="1:9">
      <c r="A56" s="65">
        <v>26</v>
      </c>
      <c r="B56" s="98">
        <v>14</v>
      </c>
      <c r="C56" s="99">
        <v>54</v>
      </c>
      <c r="D56" s="100">
        <f>E10</f>
        <v>98.493298728883843</v>
      </c>
      <c r="E56" s="100">
        <f>E11</f>
        <v>1.1132936148967596</v>
      </c>
      <c r="F56" s="97">
        <f>E12</f>
        <v>0.41469125780899985</v>
      </c>
      <c r="G56" s="100">
        <f>E13</f>
        <v>102.14240198887332</v>
      </c>
      <c r="H56" s="100">
        <f>E14</f>
        <v>3.6491032599894737</v>
      </c>
      <c r="I56" s="97">
        <f>E15</f>
        <v>3.8334840042841952E-4</v>
      </c>
    </row>
    <row r="57" spans="1:9">
      <c r="A57" s="65">
        <v>26</v>
      </c>
      <c r="B57" s="98">
        <v>14</v>
      </c>
      <c r="C57" s="101">
        <v>55</v>
      </c>
      <c r="D57" s="100">
        <f>F10</f>
        <v>94.397079056978072</v>
      </c>
      <c r="E57" s="100">
        <f>F11</f>
        <v>1.1132936148967596</v>
      </c>
      <c r="F57" s="97">
        <f>F12</f>
        <v>0.41469125780899985</v>
      </c>
      <c r="G57" s="100">
        <f>F13</f>
        <v>98.240869071712297</v>
      </c>
      <c r="H57" s="100">
        <f>F14</f>
        <v>4.0719374509608715</v>
      </c>
      <c r="I57" s="97">
        <f>F15</f>
        <v>0.2866072629150993</v>
      </c>
    </row>
    <row r="58" spans="1:9">
      <c r="A58" s="65">
        <v>26</v>
      </c>
      <c r="B58" s="98">
        <v>14</v>
      </c>
      <c r="C58" s="101">
        <v>56</v>
      </c>
      <c r="D58" s="100">
        <f>G10</f>
        <v>6.5084781194037324</v>
      </c>
      <c r="E58" s="100">
        <f>G11</f>
        <v>7.3074342469108849E-2</v>
      </c>
      <c r="F58" s="97">
        <f>G12</f>
        <v>0.45710956839035266</v>
      </c>
      <c r="G58" s="100">
        <f>G13</f>
        <v>7.1012450513104488</v>
      </c>
      <c r="H58" s="100">
        <f>G14</f>
        <v>0.59276693190671637</v>
      </c>
      <c r="I58" s="97">
        <f>G15</f>
        <v>1.6103711049437034E-2</v>
      </c>
    </row>
    <row r="59" spans="1:9">
      <c r="A59" s="65">
        <v>26</v>
      </c>
      <c r="B59" s="98">
        <v>15</v>
      </c>
      <c r="C59" s="99">
        <v>51</v>
      </c>
      <c r="D59" s="100">
        <f>C16</f>
        <v>4.1708888889580136</v>
      </c>
      <c r="E59" s="100">
        <f>C17</f>
        <v>1.1532936369638949</v>
      </c>
      <c r="F59" s="97">
        <f>C18</f>
        <v>1.8704847505002842E-2</v>
      </c>
      <c r="G59" s="100">
        <f>C19</f>
        <v>4.9175958556246799</v>
      </c>
      <c r="H59" s="100">
        <f>C20</f>
        <v>0.74670696666666636</v>
      </c>
      <c r="I59" s="97">
        <f>C21</f>
        <v>8.9611998202252935E-2</v>
      </c>
    </row>
    <row r="60" spans="1:9">
      <c r="A60" s="65">
        <v>26</v>
      </c>
      <c r="B60" s="98">
        <v>15</v>
      </c>
      <c r="C60" s="99">
        <v>52</v>
      </c>
      <c r="D60" s="100">
        <f>D16</f>
        <v>66.486166716460119</v>
      </c>
      <c r="E60" s="100">
        <f>D17</f>
        <v>7.931935563345748</v>
      </c>
      <c r="F60" s="97">
        <f>D18</f>
        <v>0.15332504277728243</v>
      </c>
      <c r="G60" s="100">
        <f>D19</f>
        <v>61.411097468803625</v>
      </c>
      <c r="H60" s="100">
        <f>D20</f>
        <v>-7.6332709468720967</v>
      </c>
      <c r="I60" s="97">
        <f>D21</f>
        <v>0.43284445929564852</v>
      </c>
    </row>
    <row r="61" spans="1:9">
      <c r="A61" s="65">
        <v>26</v>
      </c>
      <c r="B61" s="98">
        <v>15</v>
      </c>
      <c r="C61" s="99">
        <v>54</v>
      </c>
      <c r="D61" s="100">
        <f>E16</f>
        <v>93.50999789397882</v>
      </c>
      <c r="E61" s="100">
        <f>E17</f>
        <v>3.4969975821070243</v>
      </c>
      <c r="F61" s="97">
        <f>E18</f>
        <v>0.14149607193340163</v>
      </c>
      <c r="G61" s="100">
        <f>E19</f>
        <v>91.733538132994539</v>
      </c>
      <c r="H61" s="100">
        <f>E20</f>
        <v>-1.7764597609842809</v>
      </c>
      <c r="I61" s="97">
        <f>E21</f>
        <v>0.15012805709320554</v>
      </c>
    </row>
    <row r="62" spans="1:9">
      <c r="A62" s="65">
        <v>26</v>
      </c>
      <c r="B62" s="98">
        <v>15</v>
      </c>
      <c r="C62" s="101">
        <v>55</v>
      </c>
      <c r="D62" s="102">
        <f>F16</f>
        <v>86.388596063754932</v>
      </c>
      <c r="E62" s="100">
        <f>F17</f>
        <v>3.4969975821070243</v>
      </c>
      <c r="F62" s="97">
        <f>F18</f>
        <v>0.14149607193340163</v>
      </c>
      <c r="G62" s="100">
        <f>F19</f>
        <v>85.300419554501531</v>
      </c>
      <c r="H62" s="100">
        <f>F20</f>
        <v>-1.2596298109189377</v>
      </c>
      <c r="I62" s="97">
        <f>F21</f>
        <v>0.58384572385297195</v>
      </c>
    </row>
    <row r="63" spans="1:9">
      <c r="A63" s="65">
        <v>26</v>
      </c>
      <c r="B63" s="98">
        <v>15</v>
      </c>
      <c r="C63" s="101">
        <v>56</v>
      </c>
      <c r="D63" s="102">
        <f>G16</f>
        <v>4.0457716044732761</v>
      </c>
      <c r="E63" s="100">
        <f>G17</f>
        <v>0.19196489282156529</v>
      </c>
      <c r="F63" s="97">
        <f>G18</f>
        <v>0.18080991263076618</v>
      </c>
      <c r="G63" s="100">
        <f>G19</f>
        <v>4.1871709547974145</v>
      </c>
      <c r="H63" s="100">
        <f>G20</f>
        <v>0.14139935032413842</v>
      </c>
      <c r="I63" s="97">
        <f>G21</f>
        <v>0.28917715576780234</v>
      </c>
    </row>
    <row r="64" spans="1:9">
      <c r="A64" s="65">
        <v>26</v>
      </c>
      <c r="B64" s="98">
        <v>16</v>
      </c>
      <c r="C64" s="99">
        <v>51</v>
      </c>
      <c r="D64" s="100">
        <f>C22</f>
        <v>-1.1242712177506331</v>
      </c>
      <c r="E64" s="103">
        <f>C23</f>
        <v>0.5592244260655822</v>
      </c>
      <c r="F64" s="104">
        <f>C24</f>
        <v>0.16603879002962274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200.10725007710667</v>
      </c>
      <c r="E65" s="103">
        <f>D23</f>
        <v>7.8322748514741471</v>
      </c>
      <c r="F65" s="104">
        <f>D24</f>
        <v>0.46137063396547073</v>
      </c>
      <c r="G65" s="100">
        <f>D25</f>
        <v>223.93701600909995</v>
      </c>
      <c r="H65" s="100">
        <f>D26</f>
        <v>11.908497029873242</v>
      </c>
      <c r="I65" s="97">
        <f>D27</f>
        <v>5.4053233861164555E-2</v>
      </c>
    </row>
    <row r="66" spans="1:9">
      <c r="A66" s="65">
        <v>26</v>
      </c>
      <c r="B66" s="98">
        <v>16</v>
      </c>
      <c r="C66" s="99">
        <v>54</v>
      </c>
      <c r="D66" s="100">
        <f>E22</f>
        <v>94.978074710188267</v>
      </c>
      <c r="E66" s="103">
        <f>E23</f>
        <v>8.265497545883278</v>
      </c>
      <c r="F66" s="104">
        <f>E24</f>
        <v>0.8827161384615142</v>
      </c>
      <c r="G66" s="100">
        <f>E25</f>
        <v>92.445324470881971</v>
      </c>
      <c r="H66" s="100">
        <f>E26</f>
        <v>-2.5327502393062957</v>
      </c>
      <c r="I66" s="97">
        <f>E27</f>
        <v>0.14817687935756685</v>
      </c>
    </row>
    <row r="67" spans="1:9">
      <c r="A67" s="65">
        <v>26</v>
      </c>
      <c r="B67" s="98">
        <v>16</v>
      </c>
      <c r="C67" s="101">
        <v>55</v>
      </c>
      <c r="D67" s="105">
        <f>F22</f>
        <v>97.40795643764902</v>
      </c>
      <c r="E67" s="106">
        <f>F23</f>
        <v>8.265497545883278</v>
      </c>
      <c r="F67" s="107">
        <f>F24</f>
        <v>0.8827161384615142</v>
      </c>
      <c r="G67" s="100">
        <f>F25</f>
        <v>94.422335523156491</v>
      </c>
      <c r="H67" s="100">
        <f>F26</f>
        <v>-3.0650688338828163</v>
      </c>
      <c r="I67" s="97">
        <f>F27</f>
        <v>0.10107268956306659</v>
      </c>
    </row>
    <row r="68" spans="1:9">
      <c r="A68" s="65">
        <v>26</v>
      </c>
      <c r="B68" s="98">
        <v>16</v>
      </c>
      <c r="C68" s="101">
        <v>56</v>
      </c>
      <c r="D68" s="108">
        <f>G22</f>
        <v>26.827341276369555</v>
      </c>
      <c r="E68" s="100">
        <f>G23</f>
        <v>0.30550266704734474</v>
      </c>
      <c r="F68" s="97">
        <f>G24</f>
        <v>0.46085004680203012</v>
      </c>
      <c r="G68" s="100">
        <f>G25</f>
        <v>26.345482213116945</v>
      </c>
      <c r="H68" s="100">
        <f>G23</f>
        <v>0.30550266704734474</v>
      </c>
      <c r="I68" s="97">
        <f>G24</f>
        <v>0.46085004680203012</v>
      </c>
    </row>
    <row r="69" spans="1:9">
      <c r="A69" s="65">
        <v>26</v>
      </c>
      <c r="B69" s="98">
        <v>17</v>
      </c>
      <c r="C69" s="99">
        <v>51</v>
      </c>
      <c r="D69" s="100">
        <f>C28</f>
        <v>10.230442953242909</v>
      </c>
      <c r="E69" s="103">
        <f>C29</f>
        <v>0.30105104956208445</v>
      </c>
      <c r="F69" s="104">
        <f>C30</f>
        <v>0.19333509741332899</v>
      </c>
      <c r="G69" s="100">
        <f>C31</f>
        <v>10.958622586576242</v>
      </c>
      <c r="H69" s="100">
        <f>C32</f>
        <v>0.72817963333333324</v>
      </c>
      <c r="I69" s="97">
        <f>C33</f>
        <v>1.4086205589677334E-3</v>
      </c>
    </row>
    <row r="70" spans="1:9">
      <c r="A70" s="65">
        <v>26</v>
      </c>
      <c r="B70" s="98">
        <v>17</v>
      </c>
      <c r="C70" s="99">
        <v>52</v>
      </c>
      <c r="D70" s="100">
        <f>D28</f>
        <v>197.0685555579968</v>
      </c>
      <c r="E70" s="103">
        <f>D29</f>
        <v>2.5692324610934056</v>
      </c>
      <c r="F70" s="104">
        <f>D30</f>
        <v>0.82856863681627257</v>
      </c>
      <c r="G70" s="100">
        <f>D31</f>
        <v>205.27063081771513</v>
      </c>
      <c r="H70" s="100">
        <f>D32</f>
        <v>4.162041598414457</v>
      </c>
      <c r="I70" s="97">
        <f>D33</f>
        <v>0.46602793060758041</v>
      </c>
    </row>
    <row r="71" spans="1:9">
      <c r="A71" s="65">
        <v>26</v>
      </c>
      <c r="B71" s="98">
        <v>17</v>
      </c>
      <c r="C71" s="99">
        <v>54</v>
      </c>
      <c r="D71" s="100">
        <f>E28</f>
        <v>89.00626513971028</v>
      </c>
      <c r="E71" s="103">
        <f>E29</f>
        <v>-0.69100207077605247</v>
      </c>
      <c r="F71" s="104">
        <f>E30</f>
        <v>0.15417254459367291</v>
      </c>
      <c r="G71" s="100">
        <f>E31</f>
        <v>84.006376567691831</v>
      </c>
      <c r="H71" s="100">
        <f>E32</f>
        <v>-4.9998885720184489</v>
      </c>
      <c r="I71" s="97">
        <f>E33</f>
        <v>6.5206378669129125E-4</v>
      </c>
    </row>
    <row r="72" spans="1:9">
      <c r="A72" s="65">
        <v>26</v>
      </c>
      <c r="B72" s="98">
        <v>17</v>
      </c>
      <c r="C72" s="101">
        <v>55</v>
      </c>
      <c r="D72" s="105">
        <f>F28</f>
        <v>98.252814514771941</v>
      </c>
      <c r="E72" s="106">
        <f>F29</f>
        <v>-0.69100207077605247</v>
      </c>
      <c r="F72" s="107">
        <f>F30</f>
        <v>0.15417254459367291</v>
      </c>
      <c r="G72" s="100">
        <f>F31</f>
        <v>96.857727730759663</v>
      </c>
      <c r="H72" s="100">
        <f>F32</f>
        <v>-1.4198949830618202</v>
      </c>
      <c r="I72" s="97">
        <f>F33</f>
        <v>0.20916163182788217</v>
      </c>
    </row>
    <row r="73" spans="1:9">
      <c r="A73" s="65">
        <v>26</v>
      </c>
      <c r="B73" s="98">
        <v>17</v>
      </c>
      <c r="C73" s="101">
        <v>56</v>
      </c>
      <c r="D73" s="108">
        <f>G28</f>
        <v>31.480635446581012</v>
      </c>
      <c r="E73" s="100">
        <f>G29</f>
        <v>-1.2185821185658892</v>
      </c>
      <c r="F73" s="97">
        <f>G30</f>
        <v>4.5476199120203932E-2</v>
      </c>
      <c r="G73" s="100">
        <f>G31</f>
        <v>29.852965106893187</v>
      </c>
      <c r="H73" s="100">
        <f>G32</f>
        <v>-1.6276703396878247</v>
      </c>
      <c r="I73" s="97">
        <f>G33</f>
        <v>4.0887511511922894E-3</v>
      </c>
    </row>
    <row r="74" spans="1:9">
      <c r="A74" s="65">
        <v>26</v>
      </c>
      <c r="B74" s="98">
        <v>18</v>
      </c>
      <c r="C74" s="99">
        <v>51</v>
      </c>
      <c r="D74" s="100">
        <f>C34</f>
        <v>18.447527776029371</v>
      </c>
      <c r="E74" s="103">
        <f>C35</f>
        <v>0.7144536270972337</v>
      </c>
      <c r="F74" s="104">
        <f>C36</f>
        <v>2.3261683613409797E-3</v>
      </c>
      <c r="G74" s="100">
        <f>C37</f>
        <v>19.50086794269604</v>
      </c>
      <c r="H74" s="100">
        <f>C38</f>
        <v>1.0533401666666666</v>
      </c>
      <c r="I74" s="97">
        <f>C39</f>
        <v>2.6747807877713554E-3</v>
      </c>
    </row>
    <row r="75" spans="1:9">
      <c r="A75" s="65">
        <v>26</v>
      </c>
      <c r="B75" s="98">
        <v>18</v>
      </c>
      <c r="C75" s="99">
        <v>52</v>
      </c>
      <c r="D75" s="100">
        <f>D34</f>
        <v>86.420833306604337</v>
      </c>
      <c r="E75" s="103">
        <f>D35</f>
        <v>-8.7007829333172471E-2</v>
      </c>
      <c r="F75" s="104">
        <f>D36</f>
        <v>0.99037751106764171</v>
      </c>
      <c r="G75" s="100">
        <f>D37</f>
        <v>88.928571079814063</v>
      </c>
      <c r="H75" s="100">
        <f>D38</f>
        <v>2.9017745805722064</v>
      </c>
      <c r="I75" s="97">
        <f>D39</f>
        <v>0.75430719744174313</v>
      </c>
    </row>
    <row r="76" spans="1:9">
      <c r="A76" s="65">
        <v>26</v>
      </c>
      <c r="B76" s="98">
        <v>18</v>
      </c>
      <c r="C76" s="99">
        <v>54</v>
      </c>
      <c r="D76" s="100">
        <f>E34</f>
        <v>93.522864339762378</v>
      </c>
      <c r="E76" s="103">
        <f>E35</f>
        <v>-0.29457420331082113</v>
      </c>
      <c r="F76" s="104">
        <f>E36</f>
        <v>0.92611192036122203</v>
      </c>
      <c r="G76" s="100">
        <f>E37</f>
        <v>92.43058103173415</v>
      </c>
      <c r="H76" s="100">
        <f>E38</f>
        <v>-1.0922833080282288</v>
      </c>
      <c r="I76" s="97">
        <f>E39</f>
        <v>0.1664588049270429</v>
      </c>
    </row>
    <row r="77" spans="1:9">
      <c r="A77" s="65">
        <v>26</v>
      </c>
      <c r="B77" s="98">
        <v>18</v>
      </c>
      <c r="C77" s="101">
        <v>55</v>
      </c>
      <c r="D77" s="105">
        <f>F34</f>
        <v>76.395722185572154</v>
      </c>
      <c r="E77" s="106">
        <f>F35</f>
        <v>-0.29457420331082113</v>
      </c>
      <c r="F77" s="107">
        <f>F36</f>
        <v>0.92611192036122203</v>
      </c>
      <c r="G77" s="100">
        <f>F37</f>
        <v>74.875347405637683</v>
      </c>
      <c r="H77" s="100">
        <f>F38</f>
        <v>-1.9901307775340376</v>
      </c>
      <c r="I77" s="97">
        <f>F39</f>
        <v>0.74874753956545104</v>
      </c>
    </row>
    <row r="78" spans="1:9">
      <c r="A78" s="65">
        <v>26</v>
      </c>
      <c r="B78" s="98">
        <v>18</v>
      </c>
      <c r="C78" s="101">
        <v>56</v>
      </c>
      <c r="D78" s="108">
        <f>G34</f>
        <v>6.4192456501792767</v>
      </c>
      <c r="E78" s="100">
        <f>G35</f>
        <v>-0.247715256630029</v>
      </c>
      <c r="F78" s="97">
        <f>G36</f>
        <v>0.35576796601174598</v>
      </c>
      <c r="G78" s="100">
        <f>G37</f>
        <v>6.1510080894971662</v>
      </c>
      <c r="H78" s="100">
        <f>G38</f>
        <v>-0.26823756068211058</v>
      </c>
      <c r="I78" s="97">
        <f>G39</f>
        <v>0.47934526070283534</v>
      </c>
    </row>
    <row r="79" spans="1:9">
      <c r="A79" s="65">
        <v>26</v>
      </c>
      <c r="B79" s="98">
        <v>19</v>
      </c>
      <c r="C79" s="99">
        <v>51</v>
      </c>
      <c r="D79" s="100">
        <f>C40</f>
        <v>20.355403222473722</v>
      </c>
      <c r="E79" s="103">
        <f>C41</f>
        <v>0.7967834005955523</v>
      </c>
      <c r="F79" s="104">
        <f>C42</f>
        <v>6.5218148915529165E-3</v>
      </c>
      <c r="G79" s="100">
        <f>C43</f>
        <v>21.070618089140389</v>
      </c>
      <c r="H79" s="100">
        <f>C44</f>
        <v>0.71521486666666689</v>
      </c>
      <c r="I79" s="97">
        <f>C45</f>
        <v>4.841042494045112E-2</v>
      </c>
    </row>
    <row r="80" spans="1:9">
      <c r="A80" s="65">
        <v>26</v>
      </c>
      <c r="B80" s="98">
        <v>19</v>
      </c>
      <c r="C80" s="99">
        <v>52</v>
      </c>
      <c r="D80" s="100">
        <f>D40</f>
        <v>91.456500013296804</v>
      </c>
      <c r="E80" s="100">
        <f>D41</f>
        <v>7.1862402858048942</v>
      </c>
      <c r="F80" s="104">
        <f>D42</f>
        <v>0.47101567920526644</v>
      </c>
      <c r="G80" s="100">
        <f>D43</f>
        <v>99.646444752400413</v>
      </c>
      <c r="H80" s="100">
        <f>D44</f>
        <v>8.9550165793714722</v>
      </c>
      <c r="I80" s="97">
        <f>D45</f>
        <v>0.4212080400883661</v>
      </c>
    </row>
    <row r="81" spans="1:9">
      <c r="A81" s="65">
        <v>26</v>
      </c>
      <c r="B81" s="98">
        <v>19</v>
      </c>
      <c r="C81" s="99">
        <v>54</v>
      </c>
      <c r="D81" s="100">
        <f>E40</f>
        <v>95.283787353864</v>
      </c>
      <c r="E81" s="103">
        <f>E41</f>
        <v>-0.29457420331082113</v>
      </c>
      <c r="F81" s="104">
        <f>E42</f>
        <v>0.92611192036122203</v>
      </c>
      <c r="G81" s="100">
        <f>E43</f>
        <v>100.05376590466179</v>
      </c>
      <c r="H81" s="100">
        <f>E44</f>
        <v>4.7699785507977879</v>
      </c>
      <c r="I81" s="97">
        <f>E45</f>
        <v>2.8033097756584215E-2</v>
      </c>
    </row>
    <row r="82" spans="1:9">
      <c r="A82" s="65">
        <v>26</v>
      </c>
      <c r="B82" s="98">
        <v>19</v>
      </c>
      <c r="C82" s="101">
        <v>55</v>
      </c>
      <c r="D82" s="105">
        <f>F40</f>
        <v>68.716442613663588</v>
      </c>
      <c r="E82" s="106">
        <f>F41</f>
        <v>-0.29457420331082113</v>
      </c>
      <c r="F82" s="107">
        <f>F42</f>
        <v>0.92611192036122203</v>
      </c>
      <c r="G82" s="100">
        <f>F43</f>
        <v>65.0215614465546</v>
      </c>
      <c r="H82" s="100">
        <f>F44</f>
        <v>-5.3769971590093588</v>
      </c>
      <c r="I82" s="97">
        <f>F45</f>
        <v>0.41856499156636251</v>
      </c>
    </row>
    <row r="83" spans="1:9">
      <c r="A83" s="65">
        <v>26</v>
      </c>
      <c r="B83" s="98">
        <v>19</v>
      </c>
      <c r="C83" s="101">
        <v>56</v>
      </c>
      <c r="D83" s="108">
        <f>G40</f>
        <v>4.6056155242533459</v>
      </c>
      <c r="E83" s="106">
        <f>G41</f>
        <v>-0.12423550880972511</v>
      </c>
      <c r="F83" s="109">
        <f>G42</f>
        <v>0.71063147165963225</v>
      </c>
      <c r="G83" s="100">
        <f>G43</f>
        <v>4.5493800555824766</v>
      </c>
      <c r="H83" s="100">
        <f>G44</f>
        <v>-5.623546867086926E-2</v>
      </c>
      <c r="I83" s="97">
        <f>G45</f>
        <v>0.85942439921524938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9"/>
  <dimension ref="A1:O83"/>
  <sheetViews>
    <sheetView topLeftCell="A4"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44">
        <v>22.338531486895043</v>
      </c>
      <c r="D4" s="45">
        <v>88.872857142857114</v>
      </c>
      <c r="E4" s="44">
        <v>68.265771608627404</v>
      </c>
      <c r="F4" s="44">
        <v>93.875659332740682</v>
      </c>
      <c r="G4" s="44">
        <v>4.4978745825715922</v>
      </c>
    </row>
    <row r="5" spans="1:8" ht="18.75">
      <c r="A5" s="178"/>
      <c r="B5" s="21" t="s">
        <v>17</v>
      </c>
      <c r="C5" s="32">
        <v>9.4392840845890197E-2</v>
      </c>
      <c r="D5" s="33">
        <v>-5.7442555220086042</v>
      </c>
      <c r="E5" s="34">
        <v>-1.524120854267204</v>
      </c>
      <c r="F5" s="34">
        <v>-1.524120854267204</v>
      </c>
      <c r="G5" s="34">
        <v>-0.76783465910406545</v>
      </c>
    </row>
    <row r="6" spans="1:8">
      <c r="A6" s="178"/>
      <c r="B6" s="22" t="s">
        <v>18</v>
      </c>
      <c r="C6" s="35">
        <v>1.9328902051687921E-4</v>
      </c>
      <c r="D6" s="37">
        <v>0.62989929462100047</v>
      </c>
      <c r="E6" s="37">
        <v>0.18848382383846285</v>
      </c>
      <c r="F6" s="37">
        <v>0.18848382383846285</v>
      </c>
      <c r="G6" s="37">
        <v>1.0653968175971585E-4</v>
      </c>
    </row>
    <row r="7" spans="1:8" ht="18.75">
      <c r="A7" s="178"/>
      <c r="B7" s="23" t="s">
        <v>19</v>
      </c>
      <c r="C7" s="10">
        <v>23.375198320228375</v>
      </c>
      <c r="D7" s="38">
        <v>90.83064076067393</v>
      </c>
      <c r="E7" s="10">
        <v>47.022863129986845</v>
      </c>
      <c r="F7" s="10">
        <v>95.16325442439684</v>
      </c>
      <c r="G7" s="10">
        <v>3.1933263909690854</v>
      </c>
    </row>
    <row r="8" spans="1:8" ht="18.75">
      <c r="A8" s="178"/>
      <c r="B8" s="21" t="s">
        <v>20</v>
      </c>
      <c r="C8" s="39">
        <v>1.0366668333333315</v>
      </c>
      <c r="D8" s="40">
        <v>2.2029038794936207</v>
      </c>
      <c r="E8" s="40">
        <v>-31.117949710475241</v>
      </c>
      <c r="F8" s="10">
        <v>1.371596323059955</v>
      </c>
      <c r="G8" s="41">
        <v>-29.003658675975153</v>
      </c>
    </row>
    <row r="9" spans="1:8" ht="16.5" thickBot="1">
      <c r="A9" s="179"/>
      <c r="B9" s="25" t="s">
        <v>21</v>
      </c>
      <c r="C9" s="50">
        <v>8.6485577942162131E-3</v>
      </c>
      <c r="D9" s="42">
        <v>0.8939741507238631</v>
      </c>
      <c r="E9" s="51">
        <v>7.9161951650997299E-3</v>
      </c>
      <c r="F9" s="43">
        <v>0.63394874890965691</v>
      </c>
      <c r="G9" s="43">
        <v>2.3267459017773235E-2</v>
      </c>
    </row>
    <row r="10" spans="1:8" ht="18.75">
      <c r="A10" s="180" t="s">
        <v>2</v>
      </c>
      <c r="B10" s="20" t="s">
        <v>16</v>
      </c>
      <c r="C10" s="44">
        <v>13.144512800844208</v>
      </c>
      <c r="D10" s="45">
        <v>73.760158730158722</v>
      </c>
      <c r="E10" s="44">
        <v>97.644432531403353</v>
      </c>
      <c r="F10" s="44">
        <v>82.657989720625608</v>
      </c>
      <c r="G10" s="44">
        <v>5.651157400533684</v>
      </c>
    </row>
    <row r="11" spans="1:8" ht="18.75">
      <c r="A11" s="178"/>
      <c r="B11" s="21" t="s">
        <v>17</v>
      </c>
      <c r="C11" s="32">
        <v>0.45580921924082746</v>
      </c>
      <c r="D11" s="33">
        <v>11.069982520260615</v>
      </c>
      <c r="E11" s="34">
        <v>3.7261139599840929</v>
      </c>
      <c r="F11" s="34">
        <v>3.7261139599840929</v>
      </c>
      <c r="G11" s="34">
        <v>0.21843489500175328</v>
      </c>
    </row>
    <row r="12" spans="1:8">
      <c r="A12" s="178"/>
      <c r="B12" s="22" t="s">
        <v>18</v>
      </c>
      <c r="C12" s="35">
        <v>8.3012201868106469E-2</v>
      </c>
      <c r="D12" s="37">
        <v>0.15543175376558982</v>
      </c>
      <c r="E12" s="37">
        <v>0.11375017396614107</v>
      </c>
      <c r="F12" s="37">
        <v>0.11375017396614107</v>
      </c>
      <c r="G12" s="37">
        <v>0.20082830159249909</v>
      </c>
    </row>
    <row r="13" spans="1:8" ht="18.75">
      <c r="A13" s="178"/>
      <c r="B13" s="23" t="s">
        <v>19</v>
      </c>
      <c r="C13" s="10">
        <v>14.858760100844206</v>
      </c>
      <c r="D13" s="38">
        <v>70.725977858320192</v>
      </c>
      <c r="E13" s="10">
        <v>81.849249482971246</v>
      </c>
      <c r="F13" s="10">
        <v>81.285609745418867</v>
      </c>
      <c r="G13" s="10">
        <v>4.7284653134641434</v>
      </c>
    </row>
    <row r="14" spans="1:8" ht="18.75">
      <c r="A14" s="178"/>
      <c r="B14" s="21" t="s">
        <v>20</v>
      </c>
      <c r="C14" s="39">
        <v>1.7142472999999985</v>
      </c>
      <c r="D14" s="10">
        <v>-4.1135769283505219</v>
      </c>
      <c r="E14" s="10">
        <v>-16.176224940784245</v>
      </c>
      <c r="F14" s="10">
        <v>-1.6603113381358867</v>
      </c>
      <c r="G14" s="41">
        <v>-16.327488719079085</v>
      </c>
    </row>
    <row r="15" spans="1:8" ht="16.5" thickBot="1">
      <c r="A15" s="181"/>
      <c r="B15" s="26" t="s">
        <v>21</v>
      </c>
      <c r="C15" s="52">
        <v>1.1381355525182031E-5</v>
      </c>
      <c r="D15" s="46">
        <v>0.70341164503707243</v>
      </c>
      <c r="E15" s="53">
        <v>6.8816436334022107E-3</v>
      </c>
      <c r="F15" s="47">
        <v>0.60032446092203995</v>
      </c>
      <c r="G15" s="47">
        <v>2.199081070310872E-2</v>
      </c>
    </row>
    <row r="16" spans="1:8" ht="18.75">
      <c r="A16" s="177" t="s">
        <v>3</v>
      </c>
      <c r="B16" s="24" t="s">
        <v>16</v>
      </c>
      <c r="C16" s="30">
        <v>3.2485873035814565</v>
      </c>
      <c r="D16" s="31">
        <v>43.503650793650777</v>
      </c>
      <c r="E16" s="30">
        <v>91.341158966942402</v>
      </c>
      <c r="F16" s="30">
        <v>71.784647211335283</v>
      </c>
      <c r="G16" s="30">
        <v>3.3130407144211125</v>
      </c>
    </row>
    <row r="17" spans="1:7" ht="18.75">
      <c r="A17" s="178"/>
      <c r="B17" s="21" t="s">
        <v>17</v>
      </c>
      <c r="C17" s="32">
        <v>1.225695220663551</v>
      </c>
      <c r="D17" s="33">
        <v>0.31619259494676777</v>
      </c>
      <c r="E17" s="34">
        <v>1.391450207364465</v>
      </c>
      <c r="F17" s="34">
        <v>1.391450207364465</v>
      </c>
      <c r="G17" s="34">
        <v>0.18055864434040725</v>
      </c>
    </row>
    <row r="18" spans="1:7">
      <c r="A18" s="178"/>
      <c r="B18" s="22" t="s">
        <v>18</v>
      </c>
      <c r="C18" s="35">
        <v>2.3006772581774648E-2</v>
      </c>
      <c r="D18" s="37">
        <v>0.95477307150783042</v>
      </c>
      <c r="E18" s="37">
        <v>0.62207939696630876</v>
      </c>
      <c r="F18" s="37">
        <v>0.62207939696630876</v>
      </c>
      <c r="G18" s="37">
        <v>0.43094263704856905</v>
      </c>
    </row>
    <row r="19" spans="1:7" ht="18.75">
      <c r="A19" s="178"/>
      <c r="B19" s="23" t="s">
        <v>19</v>
      </c>
      <c r="C19" s="10">
        <v>4.4360062702481216</v>
      </c>
      <c r="D19" s="38">
        <v>50.569564284930131</v>
      </c>
      <c r="E19" s="10">
        <v>24.125393096449827</v>
      </c>
      <c r="F19" s="10">
        <v>75.709448658199904</v>
      </c>
      <c r="G19" s="10">
        <v>0.90375035169607143</v>
      </c>
    </row>
    <row r="20" spans="1:7" ht="18.75">
      <c r="A20" s="178"/>
      <c r="B20" s="21" t="s">
        <v>20</v>
      </c>
      <c r="C20" s="39">
        <v>1.187418966666665</v>
      </c>
      <c r="D20" s="10">
        <v>16.24211614973381</v>
      </c>
      <c r="E20" s="10">
        <v>-73.587599096283483</v>
      </c>
      <c r="F20" s="10">
        <v>5.4674663724541688</v>
      </c>
      <c r="G20" s="41">
        <v>-72.721423320812292</v>
      </c>
    </row>
    <row r="21" spans="1:7" ht="16.5" thickBot="1">
      <c r="A21" s="179"/>
      <c r="B21" s="25" t="s">
        <v>21</v>
      </c>
      <c r="C21" s="50">
        <v>1.3053898184087738E-2</v>
      </c>
      <c r="D21" s="48">
        <v>0.20429342497924186</v>
      </c>
      <c r="E21" s="54">
        <v>9.9603730607101607E-3</v>
      </c>
      <c r="F21" s="43">
        <v>0.23008068911883717</v>
      </c>
      <c r="G21" s="43">
        <v>2.0441182558327574E-2</v>
      </c>
    </row>
    <row r="22" spans="1:7" ht="18.75">
      <c r="A22" s="180" t="s">
        <v>4</v>
      </c>
      <c r="B22" s="20" t="s">
        <v>16</v>
      </c>
      <c r="C22" s="44">
        <v>-2.0164430511937237</v>
      </c>
      <c r="D22" s="45">
        <v>121.3133333333333</v>
      </c>
      <c r="E22" s="44">
        <v>94.482948448339812</v>
      </c>
      <c r="F22" s="44">
        <v>96.578337523880364</v>
      </c>
      <c r="G22" s="44">
        <v>26.447653517642578</v>
      </c>
    </row>
    <row r="23" spans="1:7" ht="18.75">
      <c r="A23" s="178"/>
      <c r="B23" s="21" t="s">
        <v>17</v>
      </c>
      <c r="C23" s="32">
        <v>0.21118823496959055</v>
      </c>
      <c r="D23" s="33">
        <v>5.5942157953281013</v>
      </c>
      <c r="E23" s="34">
        <v>-0.14498212563197896</v>
      </c>
      <c r="F23" s="34">
        <v>-0.14498212563197896</v>
      </c>
      <c r="G23" s="34">
        <v>0.29256923037619487</v>
      </c>
    </row>
    <row r="24" spans="1:7">
      <c r="A24" s="178"/>
      <c r="B24" s="22" t="s">
        <v>18</v>
      </c>
      <c r="C24" s="35">
        <v>0.60845432269925948</v>
      </c>
      <c r="D24" s="37">
        <v>0.54957361214452849</v>
      </c>
      <c r="E24" s="37">
        <v>0.84665717898475912</v>
      </c>
      <c r="F24" s="37">
        <v>0.84665717898475912</v>
      </c>
      <c r="G24" s="37">
        <v>0.52951615258361406</v>
      </c>
    </row>
    <row r="25" spans="1:7" ht="18.75">
      <c r="A25" s="178"/>
      <c r="B25" s="23" t="s">
        <v>19</v>
      </c>
      <c r="C25" s="10">
        <v>-0.4039636511937239</v>
      </c>
      <c r="D25" s="38">
        <v>138.31565999760807</v>
      </c>
      <c r="E25" s="10">
        <v>50.538388786351355</v>
      </c>
      <c r="F25" s="10">
        <v>96.800675164081326</v>
      </c>
      <c r="G25" s="10">
        <v>15.118994414645869</v>
      </c>
    </row>
    <row r="26" spans="1:7" ht="18.75">
      <c r="A26" s="178"/>
      <c r="B26" s="21" t="s">
        <v>20</v>
      </c>
      <c r="C26" s="39">
        <v>1.6124793999999998</v>
      </c>
      <c r="D26" s="10">
        <v>14.015216792005361</v>
      </c>
      <c r="E26" s="10">
        <v>-46.510571890139424</v>
      </c>
      <c r="F26" s="10">
        <v>0.23021481410982658</v>
      </c>
      <c r="G26" s="41">
        <v>-42.834269193067129</v>
      </c>
    </row>
    <row r="27" spans="1:7" ht="16.5" thickBot="1">
      <c r="A27" s="181"/>
      <c r="B27" s="26" t="s">
        <v>21</v>
      </c>
      <c r="C27" s="52">
        <v>4.0118911477870546E-4</v>
      </c>
      <c r="D27" s="46">
        <v>8.9879110330307627E-2</v>
      </c>
      <c r="E27" s="53">
        <v>1.2511632801889482E-2</v>
      </c>
      <c r="F27" s="47">
        <v>0.74957059018698513</v>
      </c>
      <c r="G27" s="47">
        <v>2.0867980620234813E-2</v>
      </c>
    </row>
    <row r="28" spans="1:7" ht="18.75">
      <c r="A28" s="177" t="s">
        <v>5</v>
      </c>
      <c r="B28" s="24" t="s">
        <v>16</v>
      </c>
      <c r="C28" s="30">
        <v>9.3682044721646722</v>
      </c>
      <c r="D28" s="31">
        <v>119.22523809523805</v>
      </c>
      <c r="E28" s="30">
        <v>93.974047416860316</v>
      </c>
      <c r="F28" s="30">
        <v>97.07277862404959</v>
      </c>
      <c r="G28" s="30">
        <v>32.864348804457094</v>
      </c>
    </row>
    <row r="29" spans="1:7" ht="18.75">
      <c r="A29" s="178"/>
      <c r="B29" s="21" t="s">
        <v>17</v>
      </c>
      <c r="C29" s="32">
        <v>0.52457530710696643</v>
      </c>
      <c r="D29" s="33">
        <v>5.8530748450659855</v>
      </c>
      <c r="E29" s="34">
        <v>0.30953259481116402</v>
      </c>
      <c r="F29" s="34">
        <v>0.30953259481116402</v>
      </c>
      <c r="G29" s="34">
        <v>-0.29845063349566558</v>
      </c>
    </row>
    <row r="30" spans="1:7">
      <c r="A30" s="178"/>
      <c r="B30" s="22" t="s">
        <v>18</v>
      </c>
      <c r="C30" s="35">
        <v>4.4059257186010344E-2</v>
      </c>
      <c r="D30" s="37">
        <v>0.47750684345473282</v>
      </c>
      <c r="E30" s="49">
        <v>0.66558052610965412</v>
      </c>
      <c r="F30" s="49">
        <v>0.66558052610965412</v>
      </c>
      <c r="G30" s="37">
        <v>0.56227951194209169</v>
      </c>
    </row>
    <row r="31" spans="1:7" ht="18.75">
      <c r="A31" s="178"/>
      <c r="B31" s="23" t="s">
        <v>19</v>
      </c>
      <c r="C31" s="10">
        <v>10.202522227720229</v>
      </c>
      <c r="D31" s="38">
        <v>124.19611809436476</v>
      </c>
      <c r="E31" s="10">
        <v>34.070206141495049</v>
      </c>
      <c r="F31" s="10">
        <v>97.282338269189339</v>
      </c>
      <c r="G31" s="10">
        <v>11.787929533239183</v>
      </c>
    </row>
    <row r="32" spans="1:7" ht="18.75">
      <c r="A32" s="178"/>
      <c r="B32" s="21" t="s">
        <v>20</v>
      </c>
      <c r="C32" s="39">
        <v>0.83431775555555632</v>
      </c>
      <c r="D32" s="10">
        <v>4.1693185759511211</v>
      </c>
      <c r="E32" s="10">
        <v>-63.745090183928419</v>
      </c>
      <c r="F32" s="10">
        <v>0.21587889839987467</v>
      </c>
      <c r="G32" s="41">
        <v>-64.131559084351935</v>
      </c>
    </row>
    <row r="33" spans="1:15" ht="16.5" thickBot="1">
      <c r="A33" s="179"/>
      <c r="B33" s="25" t="s">
        <v>21</v>
      </c>
      <c r="C33" s="50">
        <v>3.2917539634116276E-4</v>
      </c>
      <c r="D33" s="48">
        <v>0.59096469898571102</v>
      </c>
      <c r="E33" s="54">
        <v>1.6509426358065652E-3</v>
      </c>
      <c r="F33" s="43">
        <v>0.82345106055180717</v>
      </c>
      <c r="G33" s="43">
        <v>1.7202204750351514E-3</v>
      </c>
    </row>
    <row r="34" spans="1:15" ht="18.75">
      <c r="A34" s="177" t="s">
        <v>6</v>
      </c>
      <c r="B34" s="24" t="s">
        <v>16</v>
      </c>
      <c r="C34" s="30">
        <v>20.26607936450414</v>
      </c>
      <c r="D34" s="31">
        <v>59.282063492063465</v>
      </c>
      <c r="E34" s="30">
        <v>78.853716761425275</v>
      </c>
      <c r="F34" s="30">
        <v>87.206195284815763</v>
      </c>
      <c r="G34" s="30">
        <v>6.1075471870564426</v>
      </c>
    </row>
    <row r="35" spans="1:15" ht="18.75">
      <c r="A35" s="178"/>
      <c r="B35" s="21" t="s">
        <v>17</v>
      </c>
      <c r="C35" s="32">
        <v>0.54500873917662596</v>
      </c>
      <c r="D35" s="33">
        <v>-3.4682663276656571</v>
      </c>
      <c r="E35" s="34">
        <v>1.5988735070807547</v>
      </c>
      <c r="F35" s="34">
        <v>1.5988735070807547</v>
      </c>
      <c r="G35" s="34">
        <v>-0.37162353915088425</v>
      </c>
    </row>
    <row r="36" spans="1:15">
      <c r="A36" s="178"/>
      <c r="B36" s="22" t="s">
        <v>18</v>
      </c>
      <c r="C36" s="35">
        <v>0.1004976056540593</v>
      </c>
      <c r="D36" s="37">
        <v>0.61579518552941492</v>
      </c>
      <c r="E36" s="37">
        <v>0.5459795488111201</v>
      </c>
      <c r="F36" s="37">
        <v>0.5459795488111201</v>
      </c>
      <c r="G36" s="37">
        <v>0.15688597542788629</v>
      </c>
    </row>
    <row r="37" spans="1:15" ht="18.75">
      <c r="A37" s="178"/>
      <c r="B37" s="23" t="s">
        <v>19</v>
      </c>
      <c r="C37" s="10">
        <v>21.297937831170817</v>
      </c>
      <c r="D37" s="38">
        <v>64.001774750418491</v>
      </c>
      <c r="E37" s="10">
        <v>118.36520036973567</v>
      </c>
      <c r="F37" s="10">
        <v>85.308290196541563</v>
      </c>
      <c r="G37" s="10">
        <v>8.9807678977021901</v>
      </c>
    </row>
    <row r="38" spans="1:15" ht="18.75">
      <c r="A38" s="178"/>
      <c r="B38" s="21" t="s">
        <v>20</v>
      </c>
      <c r="C38" s="39">
        <v>1.0318584666666766</v>
      </c>
      <c r="D38" s="10">
        <v>7.9614490122917037</v>
      </c>
      <c r="E38" s="10">
        <v>50.107319262900184</v>
      </c>
      <c r="F38" s="10">
        <v>-2.1763420386311201</v>
      </c>
      <c r="G38" s="41">
        <v>47.043774245983506</v>
      </c>
    </row>
    <row r="39" spans="1:15" ht="16.5" thickBot="1">
      <c r="A39" s="179"/>
      <c r="B39" s="25" t="s">
        <v>21</v>
      </c>
      <c r="C39" s="50">
        <v>1.7852081520612071E-3</v>
      </c>
      <c r="D39" s="48">
        <v>0.58115512383847534</v>
      </c>
      <c r="E39" s="54">
        <v>2.4394137351657764E-3</v>
      </c>
      <c r="F39" s="43">
        <v>0.27766314341068488</v>
      </c>
      <c r="G39" s="43">
        <v>6.5572737434975714E-3</v>
      </c>
    </row>
    <row r="40" spans="1:15" ht="18.75">
      <c r="A40" s="180" t="s">
        <v>7</v>
      </c>
      <c r="B40" s="20" t="s">
        <v>16</v>
      </c>
      <c r="C40" s="44">
        <v>22.66977419369487</v>
      </c>
      <c r="D40" s="45">
        <v>51.635714285714307</v>
      </c>
      <c r="E40" s="44">
        <v>94.4739567108995</v>
      </c>
      <c r="F40" s="44">
        <v>86.014827569150839</v>
      </c>
      <c r="G40" s="44">
        <v>5.6717083482432002</v>
      </c>
    </row>
    <row r="41" spans="1:15" ht="18.75">
      <c r="A41" s="178"/>
      <c r="B41" s="21" t="s">
        <v>17</v>
      </c>
      <c r="C41" s="32">
        <v>0.84301727936495607</v>
      </c>
      <c r="D41" s="33">
        <v>-6.8188463372000738</v>
      </c>
      <c r="E41" s="34">
        <v>2.7707998114985828</v>
      </c>
      <c r="F41" s="34">
        <v>2.7707998114985828</v>
      </c>
      <c r="G41" s="34">
        <v>-1.0620579155055716E-2</v>
      </c>
    </row>
    <row r="42" spans="1:15">
      <c r="A42" s="178"/>
      <c r="B42" s="22" t="s">
        <v>18</v>
      </c>
      <c r="C42" s="35">
        <v>1.6622088407948724E-2</v>
      </c>
      <c r="D42" s="37">
        <v>0.35053774367119983</v>
      </c>
      <c r="E42" s="49">
        <v>0.3535466287562915</v>
      </c>
      <c r="F42" s="49">
        <v>0.3535466287562915</v>
      </c>
      <c r="G42" s="37">
        <v>0.95919055835308564</v>
      </c>
    </row>
    <row r="43" spans="1:15" ht="18.75">
      <c r="A43" s="178"/>
      <c r="B43" s="23" t="s">
        <v>19</v>
      </c>
      <c r="C43" s="10">
        <v>23.53286389369487</v>
      </c>
      <c r="D43" s="38">
        <v>60.433256994388486</v>
      </c>
      <c r="E43" s="10">
        <v>57.546041234273936</v>
      </c>
      <c r="F43" s="10">
        <v>84.910286062699058</v>
      </c>
      <c r="G43" s="10">
        <v>3.4168697428144963</v>
      </c>
    </row>
    <row r="44" spans="1:15" ht="18.75">
      <c r="A44" s="178"/>
      <c r="B44" s="21" t="s">
        <v>20</v>
      </c>
      <c r="C44" s="39">
        <v>0.86308969999999974</v>
      </c>
      <c r="D44" s="10">
        <v>17.037708939194705</v>
      </c>
      <c r="E44" s="10">
        <v>-39.087931491669146</v>
      </c>
      <c r="F44" s="10">
        <v>-1.2841291875680336</v>
      </c>
      <c r="G44" s="41">
        <v>-39.755898346344544</v>
      </c>
    </row>
    <row r="45" spans="1:15" ht="16.5" thickBot="1">
      <c r="A45" s="179"/>
      <c r="B45" s="25" t="s">
        <v>21</v>
      </c>
      <c r="C45" s="50">
        <v>2.744710565219774E-2</v>
      </c>
      <c r="D45" s="48">
        <v>0.45000480939258669</v>
      </c>
      <c r="E45" s="54">
        <v>3.5277066880874439E-2</v>
      </c>
      <c r="F45" s="43">
        <v>0.61672441116655152</v>
      </c>
      <c r="G45" s="43">
        <v>2.645223640372258E-2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22.338531486895043</v>
      </c>
      <c r="E49" s="100">
        <f>C5</f>
        <v>9.4392840845890197E-2</v>
      </c>
      <c r="F49" s="97">
        <f>C6</f>
        <v>1.9328902051687921E-4</v>
      </c>
      <c r="G49" s="100">
        <f>C7</f>
        <v>23.375198320228375</v>
      </c>
      <c r="H49" s="100">
        <f>C8</f>
        <v>1.0366668333333315</v>
      </c>
      <c r="I49" s="97">
        <f>C9</f>
        <v>8.6485577942162131E-3</v>
      </c>
    </row>
    <row r="50" spans="1:9">
      <c r="A50" s="65">
        <v>26</v>
      </c>
      <c r="B50" s="98">
        <v>13</v>
      </c>
      <c r="C50" s="99">
        <v>52</v>
      </c>
      <c r="D50" s="100">
        <f>D4</f>
        <v>88.872857142857114</v>
      </c>
      <c r="E50" s="100">
        <f>D5</f>
        <v>-5.7442555220086042</v>
      </c>
      <c r="F50" s="97">
        <f>D6</f>
        <v>0.62989929462100047</v>
      </c>
      <c r="G50" s="100">
        <f>D7</f>
        <v>90.83064076067393</v>
      </c>
      <c r="H50" s="100">
        <f>D8</f>
        <v>2.2029038794936207</v>
      </c>
      <c r="I50" s="97">
        <f>D9</f>
        <v>0.8939741507238631</v>
      </c>
    </row>
    <row r="51" spans="1:9">
      <c r="A51" s="65">
        <v>26</v>
      </c>
      <c r="B51" s="98">
        <v>13</v>
      </c>
      <c r="C51" s="99">
        <v>54</v>
      </c>
      <c r="D51" s="100">
        <f>E4</f>
        <v>68.265771608627404</v>
      </c>
      <c r="E51" s="100">
        <f>E5</f>
        <v>-1.524120854267204</v>
      </c>
      <c r="F51" s="97">
        <f>E6</f>
        <v>0.18848382383846285</v>
      </c>
      <c r="G51" s="100">
        <f>E7</f>
        <v>47.022863129986845</v>
      </c>
      <c r="H51" s="100">
        <f>E8</f>
        <v>-31.117949710475241</v>
      </c>
      <c r="I51" s="97">
        <f>E9</f>
        <v>7.9161951650997299E-3</v>
      </c>
    </row>
    <row r="52" spans="1:9">
      <c r="A52" s="65">
        <v>26</v>
      </c>
      <c r="B52" s="98">
        <v>13</v>
      </c>
      <c r="C52" s="101">
        <v>55</v>
      </c>
      <c r="D52" s="100">
        <f>F4</f>
        <v>93.875659332740682</v>
      </c>
      <c r="E52" s="100">
        <f>F5</f>
        <v>-1.524120854267204</v>
      </c>
      <c r="F52" s="97">
        <f>F6</f>
        <v>0.18848382383846285</v>
      </c>
      <c r="G52" s="100">
        <f>F7</f>
        <v>95.16325442439684</v>
      </c>
      <c r="H52" s="100">
        <f>F8</f>
        <v>1.371596323059955</v>
      </c>
      <c r="I52" s="97">
        <f>F9</f>
        <v>0.63394874890965691</v>
      </c>
    </row>
    <row r="53" spans="1:9">
      <c r="A53" s="65">
        <v>26</v>
      </c>
      <c r="B53" s="98">
        <v>13</v>
      </c>
      <c r="C53" s="101">
        <v>56</v>
      </c>
      <c r="D53" s="100">
        <f>G4</f>
        <v>4.4978745825715922</v>
      </c>
      <c r="E53" s="100">
        <f>G5</f>
        <v>-0.76783465910406545</v>
      </c>
      <c r="F53" s="97">
        <f>G6</f>
        <v>1.0653968175971585E-4</v>
      </c>
      <c r="G53" s="100">
        <f>G7</f>
        <v>3.1933263909690854</v>
      </c>
      <c r="H53" s="100">
        <f>G8</f>
        <v>-29.003658675975153</v>
      </c>
      <c r="I53" s="97">
        <f>G9</f>
        <v>2.3267459017773235E-2</v>
      </c>
    </row>
    <row r="54" spans="1:9">
      <c r="A54" s="65">
        <v>26</v>
      </c>
      <c r="B54" s="98">
        <v>14</v>
      </c>
      <c r="C54" s="99">
        <v>51</v>
      </c>
      <c r="D54" s="100">
        <f>C10</f>
        <v>13.144512800844208</v>
      </c>
      <c r="E54" s="100">
        <f>C11</f>
        <v>0.45580921924082746</v>
      </c>
      <c r="F54" s="97">
        <f>C12</f>
        <v>8.3012201868106469E-2</v>
      </c>
      <c r="G54" s="100">
        <f>C13</f>
        <v>14.858760100844206</v>
      </c>
      <c r="H54" s="100">
        <f>C14</f>
        <v>1.7142472999999985</v>
      </c>
      <c r="I54" s="97">
        <f>C15</f>
        <v>1.1381355525182031E-5</v>
      </c>
    </row>
    <row r="55" spans="1:9">
      <c r="A55" s="65">
        <v>26</v>
      </c>
      <c r="B55" s="98">
        <v>14</v>
      </c>
      <c r="C55" s="99">
        <v>52</v>
      </c>
      <c r="D55" s="100">
        <f>D10</f>
        <v>73.760158730158722</v>
      </c>
      <c r="E55" s="100">
        <f>D11</f>
        <v>11.069982520260615</v>
      </c>
      <c r="F55" s="97">
        <f>D12</f>
        <v>0.15543175376558982</v>
      </c>
      <c r="G55" s="100">
        <f>D13</f>
        <v>70.725977858320192</v>
      </c>
      <c r="H55" s="100">
        <f>D14</f>
        <v>-4.1135769283505219</v>
      </c>
      <c r="I55" s="97">
        <f>D15</f>
        <v>0.70341164503707243</v>
      </c>
    </row>
    <row r="56" spans="1:9">
      <c r="A56" s="65">
        <v>26</v>
      </c>
      <c r="B56" s="98">
        <v>14</v>
      </c>
      <c r="C56" s="99">
        <v>54</v>
      </c>
      <c r="D56" s="100">
        <f>E10</f>
        <v>97.644432531403353</v>
      </c>
      <c r="E56" s="100">
        <f>E11</f>
        <v>3.7261139599840929</v>
      </c>
      <c r="F56" s="97">
        <f>E12</f>
        <v>0.11375017396614107</v>
      </c>
      <c r="G56" s="100">
        <f>E13</f>
        <v>81.849249482971246</v>
      </c>
      <c r="H56" s="100">
        <f>E14</f>
        <v>-16.176224940784245</v>
      </c>
      <c r="I56" s="97">
        <f>E15</f>
        <v>6.8816436334022107E-3</v>
      </c>
    </row>
    <row r="57" spans="1:9">
      <c r="A57" s="65">
        <v>26</v>
      </c>
      <c r="B57" s="98">
        <v>14</v>
      </c>
      <c r="C57" s="101">
        <v>55</v>
      </c>
      <c r="D57" s="100">
        <f>F10</f>
        <v>82.657989720625608</v>
      </c>
      <c r="E57" s="100">
        <f>F11</f>
        <v>3.7261139599840929</v>
      </c>
      <c r="F57" s="97">
        <f>F12</f>
        <v>0.11375017396614107</v>
      </c>
      <c r="G57" s="100">
        <f>F13</f>
        <v>81.285609745418867</v>
      </c>
      <c r="H57" s="100">
        <f>F14</f>
        <v>-1.6603113381358867</v>
      </c>
      <c r="I57" s="97">
        <f>F15</f>
        <v>0.60032446092203995</v>
      </c>
    </row>
    <row r="58" spans="1:9">
      <c r="A58" s="65">
        <v>26</v>
      </c>
      <c r="B58" s="98">
        <v>14</v>
      </c>
      <c r="C58" s="101">
        <v>56</v>
      </c>
      <c r="D58" s="100">
        <f>G10</f>
        <v>5.651157400533684</v>
      </c>
      <c r="E58" s="100">
        <f>G11</f>
        <v>0.21843489500175328</v>
      </c>
      <c r="F58" s="97">
        <f>G12</f>
        <v>0.20082830159249909</v>
      </c>
      <c r="G58" s="100">
        <f>G13</f>
        <v>4.7284653134641434</v>
      </c>
      <c r="H58" s="100">
        <f>G14</f>
        <v>-16.327488719079085</v>
      </c>
      <c r="I58" s="97">
        <f>G15</f>
        <v>2.199081070310872E-2</v>
      </c>
    </row>
    <row r="59" spans="1:9">
      <c r="A59" s="65">
        <v>26</v>
      </c>
      <c r="B59" s="98">
        <v>15</v>
      </c>
      <c r="C59" s="99">
        <v>51</v>
      </c>
      <c r="D59" s="100">
        <f>C16</f>
        <v>3.2485873035814565</v>
      </c>
      <c r="E59" s="100">
        <f>C17</f>
        <v>1.225695220663551</v>
      </c>
      <c r="F59" s="97">
        <f>C18</f>
        <v>2.3006772581774648E-2</v>
      </c>
      <c r="G59" s="100">
        <f>C19</f>
        <v>4.4360062702481216</v>
      </c>
      <c r="H59" s="100">
        <f>C20</f>
        <v>1.187418966666665</v>
      </c>
      <c r="I59" s="97">
        <f>C21</f>
        <v>1.3053898184087738E-2</v>
      </c>
    </row>
    <row r="60" spans="1:9">
      <c r="A60" s="65">
        <v>26</v>
      </c>
      <c r="B60" s="98">
        <v>15</v>
      </c>
      <c r="C60" s="99">
        <v>52</v>
      </c>
      <c r="D60" s="100">
        <f>D16</f>
        <v>43.503650793650777</v>
      </c>
      <c r="E60" s="100">
        <f>D17</f>
        <v>0.31619259494676777</v>
      </c>
      <c r="F60" s="97">
        <f>D18</f>
        <v>0.95477307150783042</v>
      </c>
      <c r="G60" s="100">
        <f>D19</f>
        <v>50.569564284930131</v>
      </c>
      <c r="H60" s="100">
        <f>D20</f>
        <v>16.24211614973381</v>
      </c>
      <c r="I60" s="97">
        <f>D21</f>
        <v>0.20429342497924186</v>
      </c>
    </row>
    <row r="61" spans="1:9">
      <c r="A61" s="65">
        <v>26</v>
      </c>
      <c r="B61" s="98">
        <v>15</v>
      </c>
      <c r="C61" s="99">
        <v>54</v>
      </c>
      <c r="D61" s="100">
        <f>E16</f>
        <v>91.341158966942402</v>
      </c>
      <c r="E61" s="100">
        <f>E17</f>
        <v>1.391450207364465</v>
      </c>
      <c r="F61" s="97">
        <f>E18</f>
        <v>0.62207939696630876</v>
      </c>
      <c r="G61" s="100">
        <f>E19</f>
        <v>24.125393096449827</v>
      </c>
      <c r="H61" s="100">
        <f>E20</f>
        <v>-73.587599096283483</v>
      </c>
      <c r="I61" s="97">
        <f>E21</f>
        <v>9.9603730607101607E-3</v>
      </c>
    </row>
    <row r="62" spans="1:9">
      <c r="A62" s="65">
        <v>26</v>
      </c>
      <c r="B62" s="98">
        <v>15</v>
      </c>
      <c r="C62" s="101">
        <v>55</v>
      </c>
      <c r="D62" s="102">
        <f>F16</f>
        <v>71.784647211335283</v>
      </c>
      <c r="E62" s="100">
        <f>F17</f>
        <v>1.391450207364465</v>
      </c>
      <c r="F62" s="97">
        <f>F18</f>
        <v>0.62207939696630876</v>
      </c>
      <c r="G62" s="100">
        <f>F19</f>
        <v>75.709448658199904</v>
      </c>
      <c r="H62" s="100">
        <f>F20</f>
        <v>5.4674663724541688</v>
      </c>
      <c r="I62" s="97">
        <f>F21</f>
        <v>0.23008068911883717</v>
      </c>
    </row>
    <row r="63" spans="1:9">
      <c r="A63" s="65">
        <v>26</v>
      </c>
      <c r="B63" s="98">
        <v>15</v>
      </c>
      <c r="C63" s="101">
        <v>56</v>
      </c>
      <c r="D63" s="102">
        <f>G16</f>
        <v>3.3130407144211125</v>
      </c>
      <c r="E63" s="100">
        <f>G17</f>
        <v>0.18055864434040725</v>
      </c>
      <c r="F63" s="97">
        <f>G18</f>
        <v>0.43094263704856905</v>
      </c>
      <c r="G63" s="100">
        <f>G19</f>
        <v>0.90375035169607143</v>
      </c>
      <c r="H63" s="100">
        <f>G20</f>
        <v>-72.721423320812292</v>
      </c>
      <c r="I63" s="97">
        <f>G21</f>
        <v>2.0441182558327574E-2</v>
      </c>
    </row>
    <row r="64" spans="1:9">
      <c r="A64" s="65">
        <v>26</v>
      </c>
      <c r="B64" s="98">
        <v>16</v>
      </c>
      <c r="C64" s="99">
        <v>51</v>
      </c>
      <c r="D64" s="100">
        <f>C22</f>
        <v>-2.0164430511937237</v>
      </c>
      <c r="E64" s="103">
        <f>C23</f>
        <v>0.21118823496959055</v>
      </c>
      <c r="F64" s="104">
        <f>C24</f>
        <v>0.60845432269925948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121.3133333333333</v>
      </c>
      <c r="E65" s="103">
        <f>D23</f>
        <v>5.5942157953281013</v>
      </c>
      <c r="F65" s="104">
        <f>D24</f>
        <v>0.54957361214452849</v>
      </c>
      <c r="G65" s="100">
        <f>D25</f>
        <v>138.31565999760807</v>
      </c>
      <c r="H65" s="100">
        <f>D26</f>
        <v>14.015216792005361</v>
      </c>
      <c r="I65" s="97">
        <f>D27</f>
        <v>8.9879110330307627E-2</v>
      </c>
    </row>
    <row r="66" spans="1:9">
      <c r="A66" s="65">
        <v>26</v>
      </c>
      <c r="B66" s="98">
        <v>16</v>
      </c>
      <c r="C66" s="99">
        <v>54</v>
      </c>
      <c r="D66" s="100">
        <f>E22</f>
        <v>94.482948448339812</v>
      </c>
      <c r="E66" s="103">
        <f>E23</f>
        <v>-0.14498212563197896</v>
      </c>
      <c r="F66" s="104">
        <f>E24</f>
        <v>0.84665717898475912</v>
      </c>
      <c r="G66" s="100">
        <f>E25</f>
        <v>50.538388786351355</v>
      </c>
      <c r="H66" s="100">
        <f>E26</f>
        <v>-46.510571890139424</v>
      </c>
      <c r="I66" s="97">
        <f>E27</f>
        <v>1.2511632801889482E-2</v>
      </c>
    </row>
    <row r="67" spans="1:9">
      <c r="A67" s="65">
        <v>26</v>
      </c>
      <c r="B67" s="98">
        <v>16</v>
      </c>
      <c r="C67" s="101">
        <v>55</v>
      </c>
      <c r="D67" s="105">
        <f>F22</f>
        <v>96.578337523880364</v>
      </c>
      <c r="E67" s="106">
        <f>F23</f>
        <v>-0.14498212563197896</v>
      </c>
      <c r="F67" s="107">
        <f>F24</f>
        <v>0.84665717898475912</v>
      </c>
      <c r="G67" s="100">
        <f>F25</f>
        <v>96.800675164081326</v>
      </c>
      <c r="H67" s="100">
        <f>F26</f>
        <v>0.23021481410982658</v>
      </c>
      <c r="I67" s="97">
        <f>F27</f>
        <v>0.74957059018698513</v>
      </c>
    </row>
    <row r="68" spans="1:9">
      <c r="A68" s="65">
        <v>26</v>
      </c>
      <c r="B68" s="98">
        <v>16</v>
      </c>
      <c r="C68" s="101">
        <v>56</v>
      </c>
      <c r="D68" s="108">
        <f>G22</f>
        <v>26.447653517642578</v>
      </c>
      <c r="E68" s="100">
        <f>G23</f>
        <v>0.29256923037619487</v>
      </c>
      <c r="F68" s="97">
        <f>G24</f>
        <v>0.52951615258361406</v>
      </c>
      <c r="G68" s="100">
        <f>G25</f>
        <v>15.118994414645869</v>
      </c>
      <c r="H68" s="100">
        <f>G23</f>
        <v>0.29256923037619487</v>
      </c>
      <c r="I68" s="97">
        <f>G24</f>
        <v>0.52951615258361406</v>
      </c>
    </row>
    <row r="69" spans="1:9">
      <c r="A69" s="65">
        <v>26</v>
      </c>
      <c r="B69" s="98">
        <v>17</v>
      </c>
      <c r="C69" s="99">
        <v>51</v>
      </c>
      <c r="D69" s="100">
        <f>C28</f>
        <v>9.3682044721646722</v>
      </c>
      <c r="E69" s="103">
        <f>C29</f>
        <v>0.52457530710696643</v>
      </c>
      <c r="F69" s="104">
        <f>C30</f>
        <v>4.4059257186010344E-2</v>
      </c>
      <c r="G69" s="100">
        <f>C31</f>
        <v>10.202522227720229</v>
      </c>
      <c r="H69" s="100">
        <f>C32</f>
        <v>0.83431775555555632</v>
      </c>
      <c r="I69" s="97">
        <f>C33</f>
        <v>3.2917539634116276E-4</v>
      </c>
    </row>
    <row r="70" spans="1:9">
      <c r="A70" s="65">
        <v>26</v>
      </c>
      <c r="B70" s="98">
        <v>17</v>
      </c>
      <c r="C70" s="99">
        <v>52</v>
      </c>
      <c r="D70" s="100">
        <f>D28</f>
        <v>119.22523809523805</v>
      </c>
      <c r="E70" s="103">
        <f>D29</f>
        <v>5.8530748450659855</v>
      </c>
      <c r="F70" s="104">
        <f>D30</f>
        <v>0.47750684345473282</v>
      </c>
      <c r="G70" s="100">
        <f>D31</f>
        <v>124.19611809436476</v>
      </c>
      <c r="H70" s="100">
        <f>D32</f>
        <v>4.1693185759511211</v>
      </c>
      <c r="I70" s="97">
        <f>D33</f>
        <v>0.59096469898571102</v>
      </c>
    </row>
    <row r="71" spans="1:9">
      <c r="A71" s="65">
        <v>26</v>
      </c>
      <c r="B71" s="98">
        <v>17</v>
      </c>
      <c r="C71" s="99">
        <v>54</v>
      </c>
      <c r="D71" s="100">
        <f>E28</f>
        <v>93.974047416860316</v>
      </c>
      <c r="E71" s="103">
        <f>E29</f>
        <v>0.30953259481116402</v>
      </c>
      <c r="F71" s="104">
        <f>E30</f>
        <v>0.66558052610965412</v>
      </c>
      <c r="G71" s="100">
        <f>E31</f>
        <v>34.070206141495049</v>
      </c>
      <c r="H71" s="100">
        <f>E32</f>
        <v>-63.745090183928419</v>
      </c>
      <c r="I71" s="97">
        <f>E33</f>
        <v>1.6509426358065652E-3</v>
      </c>
    </row>
    <row r="72" spans="1:9">
      <c r="A72" s="65">
        <v>26</v>
      </c>
      <c r="B72" s="98">
        <v>17</v>
      </c>
      <c r="C72" s="101">
        <v>55</v>
      </c>
      <c r="D72" s="105">
        <f>F28</f>
        <v>97.07277862404959</v>
      </c>
      <c r="E72" s="106">
        <f>F29</f>
        <v>0.30953259481116402</v>
      </c>
      <c r="F72" s="107">
        <f>F30</f>
        <v>0.66558052610965412</v>
      </c>
      <c r="G72" s="100">
        <f>F31</f>
        <v>97.282338269189339</v>
      </c>
      <c r="H72" s="100">
        <f>F32</f>
        <v>0.21587889839987467</v>
      </c>
      <c r="I72" s="97">
        <f>F33</f>
        <v>0.82345106055180717</v>
      </c>
    </row>
    <row r="73" spans="1:9">
      <c r="A73" s="65">
        <v>26</v>
      </c>
      <c r="B73" s="98">
        <v>17</v>
      </c>
      <c r="C73" s="101">
        <v>56</v>
      </c>
      <c r="D73" s="108">
        <f>G28</f>
        <v>32.864348804457094</v>
      </c>
      <c r="E73" s="100">
        <f>G29</f>
        <v>-0.29845063349566558</v>
      </c>
      <c r="F73" s="97">
        <f>G30</f>
        <v>0.56227951194209169</v>
      </c>
      <c r="G73" s="100">
        <f>G31</f>
        <v>11.787929533239183</v>
      </c>
      <c r="H73" s="100">
        <f>G32</f>
        <v>-64.131559084351935</v>
      </c>
      <c r="I73" s="97">
        <f>G33</f>
        <v>1.7202204750351514E-3</v>
      </c>
    </row>
    <row r="74" spans="1:9">
      <c r="A74" s="65">
        <v>26</v>
      </c>
      <c r="B74" s="98">
        <v>18</v>
      </c>
      <c r="C74" s="99">
        <v>51</v>
      </c>
      <c r="D74" s="100">
        <f>C34</f>
        <v>20.26607936450414</v>
      </c>
      <c r="E74" s="103">
        <f>C35</f>
        <v>0.54500873917662596</v>
      </c>
      <c r="F74" s="104">
        <f>C36</f>
        <v>0.1004976056540593</v>
      </c>
      <c r="G74" s="100">
        <f>C37</f>
        <v>21.297937831170817</v>
      </c>
      <c r="H74" s="100">
        <f>C38</f>
        <v>1.0318584666666766</v>
      </c>
      <c r="I74" s="97">
        <f>C39</f>
        <v>1.7852081520612071E-3</v>
      </c>
    </row>
    <row r="75" spans="1:9">
      <c r="A75" s="65">
        <v>26</v>
      </c>
      <c r="B75" s="98">
        <v>18</v>
      </c>
      <c r="C75" s="99">
        <v>52</v>
      </c>
      <c r="D75" s="100">
        <f>D34</f>
        <v>59.282063492063465</v>
      </c>
      <c r="E75" s="103">
        <f>D35</f>
        <v>-3.4682663276656571</v>
      </c>
      <c r="F75" s="104">
        <f>D36</f>
        <v>0.61579518552941492</v>
      </c>
      <c r="G75" s="100">
        <f>D37</f>
        <v>64.001774750418491</v>
      </c>
      <c r="H75" s="100">
        <f>D38</f>
        <v>7.9614490122917037</v>
      </c>
      <c r="I75" s="97">
        <f>D39</f>
        <v>0.58115512383847534</v>
      </c>
    </row>
    <row r="76" spans="1:9">
      <c r="A76" s="65">
        <v>26</v>
      </c>
      <c r="B76" s="98">
        <v>18</v>
      </c>
      <c r="C76" s="99">
        <v>54</v>
      </c>
      <c r="D76" s="100">
        <f>E34</f>
        <v>78.853716761425275</v>
      </c>
      <c r="E76" s="103">
        <f>E35</f>
        <v>1.5988735070807547</v>
      </c>
      <c r="F76" s="104">
        <f>E36</f>
        <v>0.5459795488111201</v>
      </c>
      <c r="G76" s="100">
        <f>E37</f>
        <v>118.36520036973567</v>
      </c>
      <c r="H76" s="100">
        <f>E38</f>
        <v>50.107319262900184</v>
      </c>
      <c r="I76" s="97">
        <f>E39</f>
        <v>2.4394137351657764E-3</v>
      </c>
    </row>
    <row r="77" spans="1:9">
      <c r="A77" s="65">
        <v>26</v>
      </c>
      <c r="B77" s="98">
        <v>18</v>
      </c>
      <c r="C77" s="101">
        <v>55</v>
      </c>
      <c r="D77" s="105">
        <f>F34</f>
        <v>87.206195284815763</v>
      </c>
      <c r="E77" s="106">
        <f>F35</f>
        <v>1.5988735070807547</v>
      </c>
      <c r="F77" s="107">
        <f>F36</f>
        <v>0.5459795488111201</v>
      </c>
      <c r="G77" s="100">
        <f>F37</f>
        <v>85.308290196541563</v>
      </c>
      <c r="H77" s="100">
        <f>F38</f>
        <v>-2.1763420386311201</v>
      </c>
      <c r="I77" s="97">
        <f>F39</f>
        <v>0.27766314341068488</v>
      </c>
    </row>
    <row r="78" spans="1:9">
      <c r="A78" s="65">
        <v>26</v>
      </c>
      <c r="B78" s="98">
        <v>18</v>
      </c>
      <c r="C78" s="101">
        <v>56</v>
      </c>
      <c r="D78" s="108">
        <f>G34</f>
        <v>6.1075471870564426</v>
      </c>
      <c r="E78" s="100">
        <f>G35</f>
        <v>-0.37162353915088425</v>
      </c>
      <c r="F78" s="97">
        <f>G36</f>
        <v>0.15688597542788629</v>
      </c>
      <c r="G78" s="100">
        <f>G37</f>
        <v>8.9807678977021901</v>
      </c>
      <c r="H78" s="100">
        <f>G38</f>
        <v>47.043774245983506</v>
      </c>
      <c r="I78" s="97">
        <f>G39</f>
        <v>6.5572737434975714E-3</v>
      </c>
    </row>
    <row r="79" spans="1:9">
      <c r="A79" s="65">
        <v>26</v>
      </c>
      <c r="B79" s="98">
        <v>19</v>
      </c>
      <c r="C79" s="99">
        <v>51</v>
      </c>
      <c r="D79" s="100">
        <f>C40</f>
        <v>22.66977419369487</v>
      </c>
      <c r="E79" s="103">
        <f>C41</f>
        <v>0.84301727936495607</v>
      </c>
      <c r="F79" s="104">
        <f>C42</f>
        <v>1.6622088407948724E-2</v>
      </c>
      <c r="G79" s="100">
        <f>C43</f>
        <v>23.53286389369487</v>
      </c>
      <c r="H79" s="100">
        <f>C44</f>
        <v>0.86308969999999974</v>
      </c>
      <c r="I79" s="97">
        <f>C45</f>
        <v>2.744710565219774E-2</v>
      </c>
    </row>
    <row r="80" spans="1:9">
      <c r="A80" s="65">
        <v>26</v>
      </c>
      <c r="B80" s="98">
        <v>19</v>
      </c>
      <c r="C80" s="99">
        <v>52</v>
      </c>
      <c r="D80" s="100">
        <f>D40</f>
        <v>51.635714285714307</v>
      </c>
      <c r="E80" s="100">
        <f>D41</f>
        <v>-6.8188463372000738</v>
      </c>
      <c r="F80" s="104">
        <f>D42</f>
        <v>0.35053774367119983</v>
      </c>
      <c r="G80" s="100">
        <f>D43</f>
        <v>60.433256994388486</v>
      </c>
      <c r="H80" s="100">
        <f>D44</f>
        <v>17.037708939194705</v>
      </c>
      <c r="I80" s="97">
        <f>D45</f>
        <v>0.45000480939258669</v>
      </c>
    </row>
    <row r="81" spans="1:9">
      <c r="A81" s="65">
        <v>26</v>
      </c>
      <c r="B81" s="98">
        <v>19</v>
      </c>
      <c r="C81" s="99">
        <v>54</v>
      </c>
      <c r="D81" s="100">
        <f>E40</f>
        <v>94.4739567108995</v>
      </c>
      <c r="E81" s="103">
        <f>E41</f>
        <v>2.7707998114985828</v>
      </c>
      <c r="F81" s="104">
        <f>E42</f>
        <v>0.3535466287562915</v>
      </c>
      <c r="G81" s="100">
        <f>E43</f>
        <v>57.546041234273936</v>
      </c>
      <c r="H81" s="100">
        <f>E44</f>
        <v>-39.087931491669146</v>
      </c>
      <c r="I81" s="97">
        <f>E45</f>
        <v>3.5277066880874439E-2</v>
      </c>
    </row>
    <row r="82" spans="1:9">
      <c r="A82" s="65">
        <v>26</v>
      </c>
      <c r="B82" s="98">
        <v>19</v>
      </c>
      <c r="C82" s="101">
        <v>55</v>
      </c>
      <c r="D82" s="105">
        <f>F40</f>
        <v>86.014827569150839</v>
      </c>
      <c r="E82" s="106">
        <f>F41</f>
        <v>2.7707998114985828</v>
      </c>
      <c r="F82" s="107">
        <f>F42</f>
        <v>0.3535466287562915</v>
      </c>
      <c r="G82" s="100">
        <f>F43</f>
        <v>84.910286062699058</v>
      </c>
      <c r="H82" s="100">
        <f>F44</f>
        <v>-1.2841291875680336</v>
      </c>
      <c r="I82" s="97">
        <f>F45</f>
        <v>0.61672441116655152</v>
      </c>
    </row>
    <row r="83" spans="1:9">
      <c r="A83" s="65">
        <v>26</v>
      </c>
      <c r="B83" s="98">
        <v>19</v>
      </c>
      <c r="C83" s="101">
        <v>56</v>
      </c>
      <c r="D83" s="108">
        <f>G40</f>
        <v>5.6717083482432002</v>
      </c>
      <c r="E83" s="106">
        <f>G41</f>
        <v>-1.0620579155055716E-2</v>
      </c>
      <c r="F83" s="109">
        <f>G42</f>
        <v>0.95919055835308564</v>
      </c>
      <c r="G83" s="100">
        <f>G43</f>
        <v>3.4168697428144963</v>
      </c>
      <c r="H83" s="100">
        <f>G44</f>
        <v>-39.755898346344544</v>
      </c>
      <c r="I83" s="97">
        <f>G45</f>
        <v>2.645223640372258E-2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10"/>
  <dimension ref="A1:O83"/>
  <sheetViews>
    <sheetView topLeftCell="A19"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16.804311824752439</v>
      </c>
      <c r="D4" s="55">
        <v>236.27333333333337</v>
      </c>
      <c r="E4" s="30">
        <v>97.598840710519823</v>
      </c>
      <c r="F4" s="30">
        <v>88.850625444920809</v>
      </c>
      <c r="G4" s="130">
        <v>6.0651128128666532</v>
      </c>
    </row>
    <row r="5" spans="1:8" ht="18.75">
      <c r="A5" s="178"/>
      <c r="B5" s="21" t="s">
        <v>17</v>
      </c>
      <c r="C5" s="131">
        <v>0.79203343798514902</v>
      </c>
      <c r="D5" s="33">
        <v>29.713459399332585</v>
      </c>
      <c r="E5" s="34">
        <v>-6.1261495594194262</v>
      </c>
      <c r="F5" s="34">
        <v>-6.1261495594194262</v>
      </c>
      <c r="G5" s="132">
        <v>-0.3080419452196364</v>
      </c>
    </row>
    <row r="6" spans="1:8">
      <c r="A6" s="178"/>
      <c r="B6" s="22" t="s">
        <v>18</v>
      </c>
      <c r="C6" s="133">
        <v>3.2020873673654759E-5</v>
      </c>
      <c r="D6" s="37">
        <v>5.6614470171667111E-2</v>
      </c>
      <c r="E6" s="37">
        <v>2.1390387829180534E-2</v>
      </c>
      <c r="F6" s="37">
        <v>2.1390387829180534E-2</v>
      </c>
      <c r="G6" s="134">
        <v>9.4053054947329295E-2</v>
      </c>
    </row>
    <row r="7" spans="1:8" ht="18.75">
      <c r="A7" s="178"/>
      <c r="B7" s="23" t="s">
        <v>19</v>
      </c>
      <c r="C7" s="78">
        <v>17.763579574752441</v>
      </c>
      <c r="D7" s="38">
        <v>219.64337888561755</v>
      </c>
      <c r="E7" s="112">
        <v>103.72132970258016</v>
      </c>
      <c r="F7" s="10">
        <v>91.3247546433536</v>
      </c>
      <c r="G7" s="113">
        <v>6.6035100299345499</v>
      </c>
    </row>
    <row r="8" spans="1:8" ht="18.75">
      <c r="A8" s="178"/>
      <c r="B8" s="21" t="s">
        <v>20</v>
      </c>
      <c r="C8" s="135">
        <v>0.9592677500000022</v>
      </c>
      <c r="D8" s="40">
        <v>-7.038439003293842</v>
      </c>
      <c r="E8" s="136">
        <v>6.1224889920603403</v>
      </c>
      <c r="F8" s="10">
        <v>2.784594015003893</v>
      </c>
      <c r="G8" s="137">
        <v>0.53839721706789678</v>
      </c>
    </row>
    <row r="9" spans="1:8" ht="16.5" thickBot="1">
      <c r="A9" s="179"/>
      <c r="B9" s="25" t="s">
        <v>21</v>
      </c>
      <c r="C9" s="146">
        <v>1.246853779554469E-3</v>
      </c>
      <c r="D9" s="139">
        <v>0.41926888875955814</v>
      </c>
      <c r="E9" s="147">
        <v>1.4212438821061316E-3</v>
      </c>
      <c r="F9" s="46">
        <v>0.3863436905491463</v>
      </c>
      <c r="G9" s="141">
        <v>2.9654553544126275E-2</v>
      </c>
    </row>
    <row r="10" spans="1:8" ht="18.75">
      <c r="A10" s="180" t="s">
        <v>2</v>
      </c>
      <c r="B10" s="20" t="s">
        <v>16</v>
      </c>
      <c r="C10" s="129">
        <v>9.6805100373102615</v>
      </c>
      <c r="D10" s="55">
        <v>148.10300000000001</v>
      </c>
      <c r="E10" s="30">
        <v>88.859791426665169</v>
      </c>
      <c r="F10" s="30">
        <v>95.413314376008444</v>
      </c>
      <c r="G10" s="130">
        <v>5.9294862143414573</v>
      </c>
    </row>
    <row r="11" spans="1:8" ht="18.75">
      <c r="A11" s="178"/>
      <c r="B11" s="21" t="s">
        <v>17</v>
      </c>
      <c r="C11" s="131">
        <v>-0.19212192563141456</v>
      </c>
      <c r="D11" s="33">
        <v>20.96709677419355</v>
      </c>
      <c r="E11" s="34">
        <v>1.4856097129603913</v>
      </c>
      <c r="F11" s="34">
        <v>1.4856097129603913</v>
      </c>
      <c r="G11" s="132">
        <v>1.9158147918057915E-2</v>
      </c>
    </row>
    <row r="12" spans="1:8">
      <c r="A12" s="178"/>
      <c r="B12" s="22" t="s">
        <v>18</v>
      </c>
      <c r="C12" s="133">
        <v>0.38688067721473884</v>
      </c>
      <c r="D12" s="37">
        <v>6.5924926127444633E-2</v>
      </c>
      <c r="E12" s="37">
        <v>0.18788343502286287</v>
      </c>
      <c r="F12" s="37">
        <v>0.18788343502286287</v>
      </c>
      <c r="G12" s="134">
        <v>0.85054646402809519</v>
      </c>
    </row>
    <row r="13" spans="1:8" ht="18.75">
      <c r="A13" s="178"/>
      <c r="B13" s="23" t="s">
        <v>19</v>
      </c>
      <c r="C13" s="78">
        <v>11.16469400397693</v>
      </c>
      <c r="D13" s="38">
        <v>142.41301414630323</v>
      </c>
      <c r="E13" s="112">
        <v>96.035960751332738</v>
      </c>
      <c r="F13" s="10">
        <v>96.822582564455402</v>
      </c>
      <c r="G13" s="113">
        <v>6.4907977475964858</v>
      </c>
    </row>
    <row r="14" spans="1:8" ht="18.75">
      <c r="A14" s="178"/>
      <c r="B14" s="21" t="s">
        <v>20</v>
      </c>
      <c r="C14" s="135">
        <v>1.4841839666666683</v>
      </c>
      <c r="D14" s="10">
        <v>-3.8419112737059953</v>
      </c>
      <c r="E14" s="11">
        <v>7.1761693246675691</v>
      </c>
      <c r="F14" s="10">
        <v>1.4770141857699812</v>
      </c>
      <c r="G14" s="137">
        <v>0.56131153325502847</v>
      </c>
    </row>
    <row r="15" spans="1:8" ht="16.5" thickBot="1">
      <c r="A15" s="181"/>
      <c r="B15" s="26" t="s">
        <v>21</v>
      </c>
      <c r="C15" s="149">
        <v>2.5848043600918253E-5</v>
      </c>
      <c r="D15" s="48">
        <v>0.67598136531867459</v>
      </c>
      <c r="E15" s="121">
        <v>5.5224999958826434E-5</v>
      </c>
      <c r="F15" s="48">
        <v>0.50819001503910632</v>
      </c>
      <c r="G15" s="143">
        <v>1.1404946686051787E-3</v>
      </c>
    </row>
    <row r="16" spans="1:8" ht="18.75">
      <c r="A16" s="177" t="s">
        <v>3</v>
      </c>
      <c r="B16" s="24" t="s">
        <v>16</v>
      </c>
      <c r="C16" s="144">
        <v>1.8478444437831636</v>
      </c>
      <c r="D16" s="60">
        <v>51.804000000000002</v>
      </c>
      <c r="E16" s="44">
        <v>86.588575721794996</v>
      </c>
      <c r="F16" s="44">
        <v>78.262848811318506</v>
      </c>
      <c r="G16" s="145">
        <v>3.3567645768518153</v>
      </c>
    </row>
    <row r="17" spans="1:7" ht="18.75">
      <c r="A17" s="178"/>
      <c r="B17" s="21" t="s">
        <v>17</v>
      </c>
      <c r="C17" s="131">
        <v>1.0557226539799622</v>
      </c>
      <c r="D17" s="33">
        <v>2.079377085650723</v>
      </c>
      <c r="E17" s="34">
        <v>4.024319732793189</v>
      </c>
      <c r="F17" s="34">
        <v>4.024319732793189</v>
      </c>
      <c r="G17" s="132">
        <v>0.27088671655641089</v>
      </c>
    </row>
    <row r="18" spans="1:7">
      <c r="A18" s="178"/>
      <c r="B18" s="22" t="s">
        <v>18</v>
      </c>
      <c r="C18" s="133">
        <v>4.2743830735086349E-2</v>
      </c>
      <c r="D18" s="37">
        <v>0.71707954139392327</v>
      </c>
      <c r="E18" s="37">
        <v>0.19382705800104538</v>
      </c>
      <c r="F18" s="37">
        <v>0.19382705800104538</v>
      </c>
      <c r="G18" s="134">
        <v>7.539434165607975E-2</v>
      </c>
    </row>
    <row r="19" spans="1:7" ht="18.75">
      <c r="A19" s="178"/>
      <c r="B19" s="23" t="s">
        <v>19</v>
      </c>
      <c r="C19" s="78">
        <v>2.7025687437831643</v>
      </c>
      <c r="D19" s="38">
        <v>49.677606993175722</v>
      </c>
      <c r="E19" s="112">
        <v>87.603580718617053</v>
      </c>
      <c r="F19" s="10">
        <v>77.176757738734281</v>
      </c>
      <c r="G19" s="113">
        <v>3.3607265199211325</v>
      </c>
    </row>
    <row r="20" spans="1:7" ht="18.75">
      <c r="A20" s="178"/>
      <c r="B20" s="21" t="s">
        <v>20</v>
      </c>
      <c r="C20" s="135">
        <v>0.85472430000000088</v>
      </c>
      <c r="D20" s="10">
        <v>-4.1046888402908674</v>
      </c>
      <c r="E20" s="11">
        <v>1.0150049968220571</v>
      </c>
      <c r="F20" s="10">
        <v>-1.3877479405364399</v>
      </c>
      <c r="G20" s="137">
        <v>3.9619430693171864E-3</v>
      </c>
    </row>
    <row r="21" spans="1:7" ht="16.5" thickBot="1">
      <c r="A21" s="179"/>
      <c r="B21" s="25" t="s">
        <v>21</v>
      </c>
      <c r="C21" s="146">
        <v>9.9708605269316131E-2</v>
      </c>
      <c r="D21" s="46">
        <v>0.62593119302824607</v>
      </c>
      <c r="E21" s="89">
        <v>0.59793017968521955</v>
      </c>
      <c r="F21" s="46">
        <v>0.50006048223453514</v>
      </c>
      <c r="G21" s="141">
        <v>0.9755596676026097</v>
      </c>
    </row>
    <row r="22" spans="1:7" ht="18.75">
      <c r="A22" s="180" t="s">
        <v>4</v>
      </c>
      <c r="B22" s="20" t="s">
        <v>16</v>
      </c>
      <c r="C22" s="129">
        <v>-2.8934551705380498</v>
      </c>
      <c r="D22" s="55">
        <v>130.43433333333334</v>
      </c>
      <c r="E22" s="30">
        <v>91.224390235256493</v>
      </c>
      <c r="F22" s="30">
        <v>98.261652702315772</v>
      </c>
      <c r="G22" s="130">
        <v>25.983805412737514</v>
      </c>
    </row>
    <row r="23" spans="1:7" ht="18.75">
      <c r="A23" s="178"/>
      <c r="B23" s="21" t="s">
        <v>17</v>
      </c>
      <c r="C23" s="131">
        <v>0.29358451862136425</v>
      </c>
      <c r="D23" s="33">
        <v>8.6201779755283638</v>
      </c>
      <c r="E23" s="34">
        <v>0.26577768859189149</v>
      </c>
      <c r="F23" s="34">
        <v>0.26577768859189149</v>
      </c>
      <c r="G23" s="132">
        <v>0.56903513817468843</v>
      </c>
    </row>
    <row r="24" spans="1:7">
      <c r="A24" s="178"/>
      <c r="B24" s="22" t="s">
        <v>18</v>
      </c>
      <c r="C24" s="133">
        <v>0.50791705143428467</v>
      </c>
      <c r="D24" s="37">
        <v>0.1813404418969724</v>
      </c>
      <c r="E24" s="37">
        <v>0.51709237521843643</v>
      </c>
      <c r="F24" s="37">
        <v>0.51709237521843643</v>
      </c>
      <c r="G24" s="134">
        <v>0.36004125420533861</v>
      </c>
    </row>
    <row r="25" spans="1:7" ht="18.75">
      <c r="A25" s="178"/>
      <c r="B25" s="23" t="s">
        <v>19</v>
      </c>
      <c r="C25" s="78">
        <v>-1.7629618705380492</v>
      </c>
      <c r="D25" s="38">
        <v>144.15831042136864</v>
      </c>
      <c r="E25" s="112">
        <v>92.014250171603351</v>
      </c>
      <c r="F25" s="10">
        <v>96.686346976937372</v>
      </c>
      <c r="G25" s="113">
        <v>25.791831921459316</v>
      </c>
    </row>
    <row r="26" spans="1:7" ht="18.75">
      <c r="A26" s="178"/>
      <c r="B26" s="21" t="s">
        <v>20</v>
      </c>
      <c r="C26" s="135">
        <v>1.1304933000000006</v>
      </c>
      <c r="D26" s="10">
        <v>10.521752009083988</v>
      </c>
      <c r="E26" s="11">
        <v>0.78985993634685769</v>
      </c>
      <c r="F26" s="10">
        <v>-1.6031744653743998</v>
      </c>
      <c r="G26" s="115">
        <v>-0.19197349127819763</v>
      </c>
    </row>
    <row r="27" spans="1:7" ht="16.5" thickBot="1">
      <c r="A27" s="181"/>
      <c r="B27" s="26" t="s">
        <v>21</v>
      </c>
      <c r="C27" s="149">
        <v>1.2542517933710161E-2</v>
      </c>
      <c r="D27" s="48">
        <v>8.1430502568942548E-2</v>
      </c>
      <c r="E27" s="121">
        <v>0.57960971318576182</v>
      </c>
      <c r="F27" s="48">
        <v>0.23244490661364736</v>
      </c>
      <c r="G27" s="122">
        <v>0.7065423349084845</v>
      </c>
    </row>
    <row r="28" spans="1:7" ht="18.75">
      <c r="A28" s="177" t="s">
        <v>5</v>
      </c>
      <c r="B28" s="24" t="s">
        <v>16</v>
      </c>
      <c r="C28" s="144">
        <v>6.6563789721252924</v>
      </c>
      <c r="D28" s="60">
        <v>232.53399999999996</v>
      </c>
      <c r="E28" s="44">
        <v>96.894803632223912</v>
      </c>
      <c r="F28" s="44">
        <v>96.956974921837414</v>
      </c>
      <c r="G28" s="145">
        <v>33.813578619982344</v>
      </c>
    </row>
    <row r="29" spans="1:7" ht="18.75">
      <c r="A29" s="178"/>
      <c r="B29" s="21" t="s">
        <v>17</v>
      </c>
      <c r="C29" s="131">
        <v>0.39835879692432896</v>
      </c>
      <c r="D29" s="33">
        <v>18.083604004449398</v>
      </c>
      <c r="E29" s="34">
        <v>-1.5879827100283215</v>
      </c>
      <c r="F29" s="34">
        <v>-1.5879827100283215</v>
      </c>
      <c r="G29" s="132">
        <v>-6.3010337024598961E-2</v>
      </c>
    </row>
    <row r="30" spans="1:7">
      <c r="A30" s="178"/>
      <c r="B30" s="22" t="s">
        <v>18</v>
      </c>
      <c r="C30" s="133">
        <v>0.11813743798719933</v>
      </c>
      <c r="D30" s="37">
        <v>0.11224358326264294</v>
      </c>
      <c r="E30" s="49">
        <v>3.4964930573712895E-2</v>
      </c>
      <c r="F30" s="49">
        <v>3.4964930573712895E-2</v>
      </c>
      <c r="G30" s="134">
        <v>0.86622185900151516</v>
      </c>
    </row>
    <row r="31" spans="1:7" ht="18.75">
      <c r="A31" s="178"/>
      <c r="B31" s="23" t="s">
        <v>19</v>
      </c>
      <c r="C31" s="78">
        <v>7.4245516721252942</v>
      </c>
      <c r="D31" s="38">
        <v>231.93182919294102</v>
      </c>
      <c r="E31" s="112">
        <v>96.317371802115034</v>
      </c>
      <c r="F31" s="10">
        <v>96.657681296167894</v>
      </c>
      <c r="G31" s="113">
        <v>33.51329659482878</v>
      </c>
    </row>
    <row r="32" spans="1:7" ht="18.75">
      <c r="A32" s="178"/>
      <c r="B32" s="21" t="s">
        <v>20</v>
      </c>
      <c r="C32" s="135">
        <v>0.76817270000000182</v>
      </c>
      <c r="D32" s="10">
        <v>-0.25896032711730377</v>
      </c>
      <c r="E32" s="11">
        <v>-0.57743183010887833</v>
      </c>
      <c r="F32" s="10">
        <v>-0.30868705001450014</v>
      </c>
      <c r="G32" s="115">
        <v>-0.30028202515356384</v>
      </c>
    </row>
    <row r="33" spans="1:15" ht="16.5" thickBot="1">
      <c r="A33" s="179"/>
      <c r="B33" s="25" t="s">
        <v>21</v>
      </c>
      <c r="C33" s="146">
        <v>3.8047835796023621E-3</v>
      </c>
      <c r="D33" s="46">
        <v>0.96399843002487906</v>
      </c>
      <c r="E33" s="117">
        <v>0.40183064013703296</v>
      </c>
      <c r="F33" s="46">
        <v>0.85693246470463214</v>
      </c>
      <c r="G33" s="118">
        <v>0.61539856613252097</v>
      </c>
    </row>
    <row r="34" spans="1:15" ht="18.75">
      <c r="A34" s="177" t="s">
        <v>6</v>
      </c>
      <c r="B34" s="24" t="s">
        <v>16</v>
      </c>
      <c r="C34" s="129">
        <v>15.097133337126838</v>
      </c>
      <c r="D34" s="55">
        <v>130.39333333333335</v>
      </c>
      <c r="E34" s="30">
        <v>95.497691966474562</v>
      </c>
      <c r="F34" s="30"/>
      <c r="G34" s="130"/>
    </row>
    <row r="35" spans="1:15" ht="18.75">
      <c r="A35" s="178"/>
      <c r="B35" s="21" t="s">
        <v>17</v>
      </c>
      <c r="C35" s="131">
        <v>0.61897071433853923</v>
      </c>
      <c r="D35" s="33">
        <v>7.4362625139043317</v>
      </c>
      <c r="E35" s="33"/>
      <c r="F35" s="33"/>
      <c r="G35" s="151"/>
    </row>
    <row r="36" spans="1:15">
      <c r="A36" s="178"/>
      <c r="B36" s="22" t="s">
        <v>18</v>
      </c>
      <c r="C36" s="133">
        <v>3.4068113249800568E-3</v>
      </c>
      <c r="D36" s="37">
        <v>0.49090819527476759</v>
      </c>
      <c r="E36" s="66"/>
      <c r="F36" s="66"/>
      <c r="G36" s="154"/>
    </row>
    <row r="37" spans="1:15" ht="18.75">
      <c r="A37" s="178"/>
      <c r="B37" s="23" t="s">
        <v>19</v>
      </c>
      <c r="C37" s="78">
        <v>16.100727337126834</v>
      </c>
      <c r="D37" s="38">
        <v>137.32981341815361</v>
      </c>
      <c r="E37" s="112">
        <v>98.376322253947237</v>
      </c>
      <c r="F37" s="10"/>
      <c r="G37" s="113">
        <v>3.4635008845357973E-2</v>
      </c>
    </row>
    <row r="38" spans="1:15" ht="18.75">
      <c r="A38" s="178"/>
      <c r="B38" s="21" t="s">
        <v>20</v>
      </c>
      <c r="C38" s="135">
        <v>1.0035939999999979</v>
      </c>
      <c r="D38" s="10">
        <v>5.319658534296428</v>
      </c>
      <c r="E38" s="11">
        <v>2.8786302874726744</v>
      </c>
      <c r="F38" s="10">
        <v>-2.9411710335464871</v>
      </c>
      <c r="G38" s="115">
        <v>3.4635008845357973E-2</v>
      </c>
    </row>
    <row r="39" spans="1:15" ht="16.5" thickBot="1">
      <c r="A39" s="179"/>
      <c r="B39" s="25" t="s">
        <v>21</v>
      </c>
      <c r="C39" s="149">
        <v>2.7760146057883026E-3</v>
      </c>
      <c r="D39" s="48">
        <v>0.52371933346776189</v>
      </c>
      <c r="E39" s="121">
        <v>1.4188414157319081E-2</v>
      </c>
      <c r="F39" s="48">
        <v>0.7073803276452939</v>
      </c>
      <c r="G39" s="122">
        <v>0.93735211301523835</v>
      </c>
    </row>
    <row r="40" spans="1:15" ht="18.75">
      <c r="A40" s="180" t="s">
        <v>7</v>
      </c>
      <c r="B40" s="20" t="s">
        <v>16</v>
      </c>
      <c r="C40" s="144">
        <v>17.039956992610804</v>
      </c>
      <c r="D40" s="45">
        <v>136.60600000000002</v>
      </c>
      <c r="E40" s="44">
        <v>77.575042930890149</v>
      </c>
      <c r="F40" s="44"/>
      <c r="G40" s="145"/>
    </row>
    <row r="41" spans="1:15" ht="18.75">
      <c r="A41" s="178"/>
      <c r="B41" s="21" t="s">
        <v>17</v>
      </c>
      <c r="C41" s="131">
        <v>0.86454771066302827</v>
      </c>
      <c r="D41" s="33">
        <v>21.555550611790881</v>
      </c>
      <c r="E41" s="33"/>
      <c r="F41" s="33"/>
      <c r="G41" s="151"/>
    </row>
    <row r="42" spans="1:15">
      <c r="A42" s="178"/>
      <c r="B42" s="22" t="s">
        <v>18</v>
      </c>
      <c r="C42" s="133">
        <v>5.5635737858986112E-4</v>
      </c>
      <c r="D42" s="37">
        <v>0.14170231267765165</v>
      </c>
      <c r="E42" s="67"/>
      <c r="F42" s="67"/>
      <c r="G42" s="154"/>
    </row>
    <row r="43" spans="1:15" ht="18.75">
      <c r="A43" s="178"/>
      <c r="B43" s="23" t="s">
        <v>19</v>
      </c>
      <c r="C43" s="78">
        <v>17.667111025944145</v>
      </c>
      <c r="D43" s="38">
        <v>138.06690474627027</v>
      </c>
      <c r="E43" s="112">
        <v>82.548039842167199</v>
      </c>
      <c r="F43" s="10"/>
      <c r="G43" s="113">
        <v>0.15665934718395302</v>
      </c>
    </row>
    <row r="44" spans="1:15" ht="18.75">
      <c r="A44" s="178"/>
      <c r="B44" s="21" t="s">
        <v>20</v>
      </c>
      <c r="C44" s="135">
        <v>0.62715403333334052</v>
      </c>
      <c r="D44" s="10">
        <v>1.0694294147184191</v>
      </c>
      <c r="E44" s="11">
        <v>4.9729969112770505</v>
      </c>
      <c r="F44" s="10">
        <v>-2.4165953664282478</v>
      </c>
      <c r="G44" s="155">
        <v>0.15665934718395302</v>
      </c>
    </row>
    <row r="45" spans="1:15" ht="16.5" thickBot="1">
      <c r="A45" s="179"/>
      <c r="B45" s="25" t="s">
        <v>21</v>
      </c>
      <c r="C45" s="149">
        <v>7.7679289258393749E-2</v>
      </c>
      <c r="D45" s="48">
        <v>0.92674250313983331</v>
      </c>
      <c r="E45" s="121">
        <v>6.7578925825230882E-2</v>
      </c>
      <c r="F45" s="48">
        <v>0.82277722654401297</v>
      </c>
      <c r="G45" s="156">
        <v>0.68807854909951205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16.804311824752439</v>
      </c>
      <c r="E49" s="100">
        <f>C5</f>
        <v>0.79203343798514902</v>
      </c>
      <c r="F49" s="97">
        <f>C6</f>
        <v>3.2020873673654759E-5</v>
      </c>
      <c r="G49" s="100">
        <f>C7</f>
        <v>17.763579574752441</v>
      </c>
      <c r="H49" s="100">
        <f>C8</f>
        <v>0.9592677500000022</v>
      </c>
      <c r="I49" s="97">
        <f>C9</f>
        <v>1.246853779554469E-3</v>
      </c>
    </row>
    <row r="50" spans="1:9">
      <c r="A50" s="65">
        <v>26</v>
      </c>
      <c r="B50" s="98">
        <v>13</v>
      </c>
      <c r="C50" s="99">
        <v>52</v>
      </c>
      <c r="D50" s="100">
        <f>D4</f>
        <v>236.27333333333337</v>
      </c>
      <c r="E50" s="100">
        <f>D5</f>
        <v>29.713459399332585</v>
      </c>
      <c r="F50" s="97">
        <f>D6</f>
        <v>5.6614470171667111E-2</v>
      </c>
      <c r="G50" s="100">
        <f>D7</f>
        <v>219.64337888561755</v>
      </c>
      <c r="H50" s="100">
        <f>D8</f>
        <v>-7.038439003293842</v>
      </c>
      <c r="I50" s="97">
        <f>D9</f>
        <v>0.41926888875955814</v>
      </c>
    </row>
    <row r="51" spans="1:9">
      <c r="A51" s="65">
        <v>26</v>
      </c>
      <c r="B51" s="98">
        <v>13</v>
      </c>
      <c r="C51" s="99">
        <v>54</v>
      </c>
      <c r="D51" s="100">
        <f>E4</f>
        <v>97.598840710519823</v>
      </c>
      <c r="E51" s="100">
        <f>E5</f>
        <v>-6.1261495594194262</v>
      </c>
      <c r="F51" s="97">
        <f>E6</f>
        <v>2.1390387829180534E-2</v>
      </c>
      <c r="G51" s="100">
        <f>E7</f>
        <v>103.72132970258016</v>
      </c>
      <c r="H51" s="100">
        <f>E8</f>
        <v>6.1224889920603403</v>
      </c>
      <c r="I51" s="97">
        <f>E9</f>
        <v>1.4212438821061316E-3</v>
      </c>
    </row>
    <row r="52" spans="1:9">
      <c r="A52" s="65">
        <v>26</v>
      </c>
      <c r="B52" s="98">
        <v>13</v>
      </c>
      <c r="C52" s="101">
        <v>55</v>
      </c>
      <c r="D52" s="100">
        <f>F4</f>
        <v>88.850625444920809</v>
      </c>
      <c r="E52" s="100">
        <f>F5</f>
        <v>-6.1261495594194262</v>
      </c>
      <c r="F52" s="97">
        <f>F6</f>
        <v>2.1390387829180534E-2</v>
      </c>
      <c r="G52" s="100">
        <f>F7</f>
        <v>91.3247546433536</v>
      </c>
      <c r="H52" s="100">
        <f>F8</f>
        <v>2.784594015003893</v>
      </c>
      <c r="I52" s="97">
        <f>F9</f>
        <v>0.3863436905491463</v>
      </c>
    </row>
    <row r="53" spans="1:9">
      <c r="A53" s="65">
        <v>26</v>
      </c>
      <c r="B53" s="98">
        <v>13</v>
      </c>
      <c r="C53" s="101">
        <v>56</v>
      </c>
      <c r="D53" s="100">
        <f>G4</f>
        <v>6.0651128128666532</v>
      </c>
      <c r="E53" s="100">
        <f>G5</f>
        <v>-0.3080419452196364</v>
      </c>
      <c r="F53" s="97">
        <f>G6</f>
        <v>9.4053054947329295E-2</v>
      </c>
      <c r="G53" s="100">
        <f>G7</f>
        <v>6.6035100299345499</v>
      </c>
      <c r="H53" s="100">
        <f>G8</f>
        <v>0.53839721706789678</v>
      </c>
      <c r="I53" s="97">
        <f>G9</f>
        <v>2.9654553544126275E-2</v>
      </c>
    </row>
    <row r="54" spans="1:9">
      <c r="A54" s="65">
        <v>26</v>
      </c>
      <c r="B54" s="98">
        <v>14</v>
      </c>
      <c r="C54" s="99">
        <v>51</v>
      </c>
      <c r="D54" s="100">
        <f>C10</f>
        <v>9.6805100373102615</v>
      </c>
      <c r="E54" s="100">
        <f>C11</f>
        <v>-0.19212192563141456</v>
      </c>
      <c r="F54" s="97">
        <f>C12</f>
        <v>0.38688067721473884</v>
      </c>
      <c r="G54" s="100">
        <f>C13</f>
        <v>11.16469400397693</v>
      </c>
      <c r="H54" s="100">
        <f>C14</f>
        <v>1.4841839666666683</v>
      </c>
      <c r="I54" s="97">
        <f>C15</f>
        <v>2.5848043600918253E-5</v>
      </c>
    </row>
    <row r="55" spans="1:9">
      <c r="A55" s="65">
        <v>26</v>
      </c>
      <c r="B55" s="98">
        <v>14</v>
      </c>
      <c r="C55" s="99">
        <v>52</v>
      </c>
      <c r="D55" s="100">
        <f>D10</f>
        <v>148.10300000000001</v>
      </c>
      <c r="E55" s="100">
        <f>D11</f>
        <v>20.96709677419355</v>
      </c>
      <c r="F55" s="97">
        <f>D12</f>
        <v>6.5924926127444633E-2</v>
      </c>
      <c r="G55" s="100">
        <f>D13</f>
        <v>142.41301414630323</v>
      </c>
      <c r="H55" s="100">
        <f>D14</f>
        <v>-3.8419112737059953</v>
      </c>
      <c r="I55" s="97">
        <f>D15</f>
        <v>0.67598136531867459</v>
      </c>
    </row>
    <row r="56" spans="1:9">
      <c r="A56" s="65">
        <v>26</v>
      </c>
      <c r="B56" s="98">
        <v>14</v>
      </c>
      <c r="C56" s="99">
        <v>54</v>
      </c>
      <c r="D56" s="100">
        <f>E10</f>
        <v>88.859791426665169</v>
      </c>
      <c r="E56" s="100">
        <f>E11</f>
        <v>1.4856097129603913</v>
      </c>
      <c r="F56" s="97">
        <f>E12</f>
        <v>0.18788343502286287</v>
      </c>
      <c r="G56" s="100">
        <f>E13</f>
        <v>96.035960751332738</v>
      </c>
      <c r="H56" s="100">
        <f>E14</f>
        <v>7.1761693246675691</v>
      </c>
      <c r="I56" s="97">
        <f>E15</f>
        <v>5.5224999958826434E-5</v>
      </c>
    </row>
    <row r="57" spans="1:9">
      <c r="A57" s="65">
        <v>26</v>
      </c>
      <c r="B57" s="98">
        <v>14</v>
      </c>
      <c r="C57" s="101">
        <v>55</v>
      </c>
      <c r="D57" s="100">
        <f>F10</f>
        <v>95.413314376008444</v>
      </c>
      <c r="E57" s="100">
        <f>F11</f>
        <v>1.4856097129603913</v>
      </c>
      <c r="F57" s="97">
        <f>F12</f>
        <v>0.18788343502286287</v>
      </c>
      <c r="G57" s="100">
        <f>F13</f>
        <v>96.822582564455402</v>
      </c>
      <c r="H57" s="100">
        <f>F14</f>
        <v>1.4770141857699812</v>
      </c>
      <c r="I57" s="97">
        <f>F15</f>
        <v>0.50819001503910632</v>
      </c>
    </row>
    <row r="58" spans="1:9">
      <c r="A58" s="65">
        <v>26</v>
      </c>
      <c r="B58" s="98">
        <v>14</v>
      </c>
      <c r="C58" s="101">
        <v>56</v>
      </c>
      <c r="D58" s="100">
        <f>G10</f>
        <v>5.9294862143414573</v>
      </c>
      <c r="E58" s="100">
        <f>G11</f>
        <v>1.9158147918057915E-2</v>
      </c>
      <c r="F58" s="97">
        <f>G12</f>
        <v>0.85054646402809519</v>
      </c>
      <c r="G58" s="100">
        <f>G13</f>
        <v>6.4907977475964858</v>
      </c>
      <c r="H58" s="100">
        <f>G14</f>
        <v>0.56131153325502847</v>
      </c>
      <c r="I58" s="97">
        <f>G15</f>
        <v>1.1404946686051787E-3</v>
      </c>
    </row>
    <row r="59" spans="1:9">
      <c r="A59" s="65">
        <v>26</v>
      </c>
      <c r="B59" s="98">
        <v>15</v>
      </c>
      <c r="C59" s="99">
        <v>51</v>
      </c>
      <c r="D59" s="100">
        <f>C16</f>
        <v>1.8478444437831636</v>
      </c>
      <c r="E59" s="100">
        <f>C17</f>
        <v>1.0557226539799622</v>
      </c>
      <c r="F59" s="97">
        <f>C18</f>
        <v>4.2743830735086349E-2</v>
      </c>
      <c r="G59" s="100">
        <f>C19</f>
        <v>2.7025687437831643</v>
      </c>
      <c r="H59" s="100">
        <f>C20</f>
        <v>0.85472430000000088</v>
      </c>
      <c r="I59" s="97">
        <f>C21</f>
        <v>9.9708605269316131E-2</v>
      </c>
    </row>
    <row r="60" spans="1:9">
      <c r="A60" s="65">
        <v>26</v>
      </c>
      <c r="B60" s="98">
        <v>15</v>
      </c>
      <c r="C60" s="99">
        <v>52</v>
      </c>
      <c r="D60" s="100">
        <f>D16</f>
        <v>51.804000000000002</v>
      </c>
      <c r="E60" s="100">
        <f>D17</f>
        <v>2.079377085650723</v>
      </c>
      <c r="F60" s="97">
        <f>D18</f>
        <v>0.71707954139392327</v>
      </c>
      <c r="G60" s="100">
        <f>D19</f>
        <v>49.677606993175722</v>
      </c>
      <c r="H60" s="100">
        <f>D20</f>
        <v>-4.1046888402908674</v>
      </c>
      <c r="I60" s="97">
        <f>D21</f>
        <v>0.62593119302824607</v>
      </c>
    </row>
    <row r="61" spans="1:9">
      <c r="A61" s="65">
        <v>26</v>
      </c>
      <c r="B61" s="98">
        <v>15</v>
      </c>
      <c r="C61" s="99">
        <v>54</v>
      </c>
      <c r="D61" s="100">
        <f>E16</f>
        <v>86.588575721794996</v>
      </c>
      <c r="E61" s="100">
        <f>E17</f>
        <v>4.024319732793189</v>
      </c>
      <c r="F61" s="97">
        <f>E18</f>
        <v>0.19382705800104538</v>
      </c>
      <c r="G61" s="100">
        <f>E19</f>
        <v>87.603580718617053</v>
      </c>
      <c r="H61" s="100">
        <f>E20</f>
        <v>1.0150049968220571</v>
      </c>
      <c r="I61" s="97">
        <f>E21</f>
        <v>0.59793017968521955</v>
      </c>
    </row>
    <row r="62" spans="1:9">
      <c r="A62" s="65">
        <v>26</v>
      </c>
      <c r="B62" s="98">
        <v>15</v>
      </c>
      <c r="C62" s="101">
        <v>55</v>
      </c>
      <c r="D62" s="102">
        <f>F16</f>
        <v>78.262848811318506</v>
      </c>
      <c r="E62" s="100">
        <f>F17</f>
        <v>4.024319732793189</v>
      </c>
      <c r="F62" s="97">
        <f>F18</f>
        <v>0.19382705800104538</v>
      </c>
      <c r="G62" s="100">
        <f>F19</f>
        <v>77.176757738734281</v>
      </c>
      <c r="H62" s="100">
        <f>F20</f>
        <v>-1.3877479405364399</v>
      </c>
      <c r="I62" s="97">
        <f>F21</f>
        <v>0.50006048223453514</v>
      </c>
    </row>
    <row r="63" spans="1:9">
      <c r="A63" s="65">
        <v>26</v>
      </c>
      <c r="B63" s="98">
        <v>15</v>
      </c>
      <c r="C63" s="101">
        <v>56</v>
      </c>
      <c r="D63" s="102">
        <f>G16</f>
        <v>3.3567645768518153</v>
      </c>
      <c r="E63" s="100">
        <f>G17</f>
        <v>0.27088671655641089</v>
      </c>
      <c r="F63" s="97">
        <f>G18</f>
        <v>7.539434165607975E-2</v>
      </c>
      <c r="G63" s="100">
        <f>G19</f>
        <v>3.3607265199211325</v>
      </c>
      <c r="H63" s="100">
        <f>G20</f>
        <v>3.9619430693171864E-3</v>
      </c>
      <c r="I63" s="97">
        <f>G21</f>
        <v>0.9755596676026097</v>
      </c>
    </row>
    <row r="64" spans="1:9">
      <c r="A64" s="65">
        <v>26</v>
      </c>
      <c r="B64" s="98">
        <v>16</v>
      </c>
      <c r="C64" s="99">
        <v>51</v>
      </c>
      <c r="D64" s="100">
        <f>C22</f>
        <v>-2.8934551705380498</v>
      </c>
      <c r="E64" s="103">
        <f>C23</f>
        <v>0.29358451862136425</v>
      </c>
      <c r="F64" s="104">
        <f>C24</f>
        <v>0.50791705143428467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130.43433333333334</v>
      </c>
      <c r="E65" s="103">
        <f>D23</f>
        <v>8.6201779755283638</v>
      </c>
      <c r="F65" s="104">
        <f>D24</f>
        <v>0.1813404418969724</v>
      </c>
      <c r="G65" s="100">
        <f>D25</f>
        <v>144.15831042136864</v>
      </c>
      <c r="H65" s="100">
        <f>D26</f>
        <v>10.521752009083988</v>
      </c>
      <c r="I65" s="97">
        <f>D27</f>
        <v>8.1430502568942548E-2</v>
      </c>
    </row>
    <row r="66" spans="1:9">
      <c r="A66" s="65">
        <v>26</v>
      </c>
      <c r="B66" s="98">
        <v>16</v>
      </c>
      <c r="C66" s="99">
        <v>54</v>
      </c>
      <c r="D66" s="100">
        <f>E22</f>
        <v>91.224390235256493</v>
      </c>
      <c r="E66" s="103">
        <f>E23</f>
        <v>0.26577768859189149</v>
      </c>
      <c r="F66" s="104">
        <f>E24</f>
        <v>0.51709237521843643</v>
      </c>
      <c r="G66" s="100">
        <f>E25</f>
        <v>92.014250171603351</v>
      </c>
      <c r="H66" s="100">
        <f>E26</f>
        <v>0.78985993634685769</v>
      </c>
      <c r="I66" s="97">
        <f>E27</f>
        <v>0.57960971318576182</v>
      </c>
    </row>
    <row r="67" spans="1:9">
      <c r="A67" s="65">
        <v>26</v>
      </c>
      <c r="B67" s="98">
        <v>16</v>
      </c>
      <c r="C67" s="101">
        <v>55</v>
      </c>
      <c r="D67" s="105">
        <f>F22</f>
        <v>98.261652702315772</v>
      </c>
      <c r="E67" s="106">
        <f>F23</f>
        <v>0.26577768859189149</v>
      </c>
      <c r="F67" s="107">
        <f>F24</f>
        <v>0.51709237521843643</v>
      </c>
      <c r="G67" s="100">
        <f>F25</f>
        <v>96.686346976937372</v>
      </c>
      <c r="H67" s="100">
        <f>F26</f>
        <v>-1.6031744653743998</v>
      </c>
      <c r="I67" s="97">
        <f>F27</f>
        <v>0.23244490661364736</v>
      </c>
    </row>
    <row r="68" spans="1:9">
      <c r="A68" s="65">
        <v>26</v>
      </c>
      <c r="B68" s="98">
        <v>16</v>
      </c>
      <c r="C68" s="101">
        <v>56</v>
      </c>
      <c r="D68" s="108">
        <f>G22</f>
        <v>25.983805412737514</v>
      </c>
      <c r="E68" s="100">
        <f>G23</f>
        <v>0.56903513817468843</v>
      </c>
      <c r="F68" s="97">
        <f>G24</f>
        <v>0.36004125420533861</v>
      </c>
      <c r="G68" s="100">
        <f>G25</f>
        <v>25.791831921459316</v>
      </c>
      <c r="H68" s="100">
        <f>G23</f>
        <v>0.56903513817468843</v>
      </c>
      <c r="I68" s="97">
        <f>G24</f>
        <v>0.36004125420533861</v>
      </c>
    </row>
    <row r="69" spans="1:9">
      <c r="A69" s="65">
        <v>26</v>
      </c>
      <c r="B69" s="98">
        <v>17</v>
      </c>
      <c r="C69" s="99">
        <v>51</v>
      </c>
      <c r="D69" s="100">
        <f>C28</f>
        <v>6.6563789721252924</v>
      </c>
      <c r="E69" s="103">
        <f>C29</f>
        <v>0.39835879692432896</v>
      </c>
      <c r="F69" s="104">
        <f>C30</f>
        <v>0.11813743798719933</v>
      </c>
      <c r="G69" s="100">
        <f>C31</f>
        <v>7.4245516721252942</v>
      </c>
      <c r="H69" s="100">
        <f>C32</f>
        <v>0.76817270000000182</v>
      </c>
      <c r="I69" s="97">
        <f>C33</f>
        <v>3.8047835796023621E-3</v>
      </c>
    </row>
    <row r="70" spans="1:9">
      <c r="A70" s="65">
        <v>26</v>
      </c>
      <c r="B70" s="98">
        <v>17</v>
      </c>
      <c r="C70" s="99">
        <v>52</v>
      </c>
      <c r="D70" s="100">
        <f>D28</f>
        <v>232.53399999999996</v>
      </c>
      <c r="E70" s="103">
        <f>D29</f>
        <v>18.083604004449398</v>
      </c>
      <c r="F70" s="104">
        <f>D30</f>
        <v>0.11224358326264294</v>
      </c>
      <c r="G70" s="100">
        <f>D31</f>
        <v>231.93182919294102</v>
      </c>
      <c r="H70" s="100">
        <f>D32</f>
        <v>-0.25896032711730377</v>
      </c>
      <c r="I70" s="97">
        <f>D33</f>
        <v>0.96399843002487906</v>
      </c>
    </row>
    <row r="71" spans="1:9">
      <c r="A71" s="65">
        <v>26</v>
      </c>
      <c r="B71" s="98">
        <v>17</v>
      </c>
      <c r="C71" s="99">
        <v>54</v>
      </c>
      <c r="D71" s="100">
        <f>E28</f>
        <v>96.894803632223912</v>
      </c>
      <c r="E71" s="103">
        <f>E29</f>
        <v>-1.5879827100283215</v>
      </c>
      <c r="F71" s="104">
        <f>E30</f>
        <v>3.4964930573712895E-2</v>
      </c>
      <c r="G71" s="100">
        <f>E31</f>
        <v>96.317371802115034</v>
      </c>
      <c r="H71" s="100">
        <f>E32</f>
        <v>-0.57743183010887833</v>
      </c>
      <c r="I71" s="97">
        <f>E33</f>
        <v>0.40183064013703296</v>
      </c>
    </row>
    <row r="72" spans="1:9">
      <c r="A72" s="65">
        <v>26</v>
      </c>
      <c r="B72" s="98">
        <v>17</v>
      </c>
      <c r="C72" s="101">
        <v>55</v>
      </c>
      <c r="D72" s="105">
        <f>F28</f>
        <v>96.956974921837414</v>
      </c>
      <c r="E72" s="106">
        <f>F29</f>
        <v>-1.5879827100283215</v>
      </c>
      <c r="F72" s="107">
        <f>F30</f>
        <v>3.4964930573712895E-2</v>
      </c>
      <c r="G72" s="100">
        <f>F31</f>
        <v>96.657681296167894</v>
      </c>
      <c r="H72" s="100">
        <f>F32</f>
        <v>-0.30868705001450014</v>
      </c>
      <c r="I72" s="97">
        <f>F33</f>
        <v>0.85693246470463214</v>
      </c>
    </row>
    <row r="73" spans="1:9">
      <c r="A73" s="65">
        <v>26</v>
      </c>
      <c r="B73" s="98">
        <v>17</v>
      </c>
      <c r="C73" s="101">
        <v>56</v>
      </c>
      <c r="D73" s="108">
        <f>G28</f>
        <v>33.813578619982344</v>
      </c>
      <c r="E73" s="100">
        <f>G29</f>
        <v>-6.3010337024598961E-2</v>
      </c>
      <c r="F73" s="97">
        <f>G30</f>
        <v>0.86622185900151516</v>
      </c>
      <c r="G73" s="100">
        <f>G31</f>
        <v>33.51329659482878</v>
      </c>
      <c r="H73" s="100">
        <f>G32</f>
        <v>-0.30028202515356384</v>
      </c>
      <c r="I73" s="97">
        <f>G33</f>
        <v>0.61539856613252097</v>
      </c>
    </row>
    <row r="74" spans="1:9">
      <c r="A74" s="65">
        <v>26</v>
      </c>
      <c r="B74" s="98">
        <v>18</v>
      </c>
      <c r="C74" s="99">
        <v>51</v>
      </c>
      <c r="D74" s="100">
        <f>C34</f>
        <v>15.097133337126838</v>
      </c>
      <c r="E74" s="103">
        <f>C35</f>
        <v>0.61897071433853923</v>
      </c>
      <c r="F74" s="104">
        <f>C36</f>
        <v>3.4068113249800568E-3</v>
      </c>
      <c r="G74" s="100">
        <f>C37</f>
        <v>16.100727337126834</v>
      </c>
      <c r="H74" s="100">
        <f>C38</f>
        <v>1.0035939999999979</v>
      </c>
      <c r="I74" s="97">
        <f>C39</f>
        <v>2.7760146057883026E-3</v>
      </c>
    </row>
    <row r="75" spans="1:9">
      <c r="A75" s="65">
        <v>26</v>
      </c>
      <c r="B75" s="98">
        <v>18</v>
      </c>
      <c r="C75" s="99">
        <v>52</v>
      </c>
      <c r="D75" s="100">
        <f>D34</f>
        <v>130.39333333333335</v>
      </c>
      <c r="E75" s="103">
        <f>D35</f>
        <v>7.4362625139043317</v>
      </c>
      <c r="F75" s="104">
        <f>D36</f>
        <v>0.49090819527476759</v>
      </c>
      <c r="G75" s="100">
        <f>D37</f>
        <v>137.32981341815361</v>
      </c>
      <c r="H75" s="100">
        <f>D38</f>
        <v>5.319658534296428</v>
      </c>
      <c r="I75" s="97">
        <f>D39</f>
        <v>0.52371933346776189</v>
      </c>
    </row>
    <row r="76" spans="1:9">
      <c r="A76" s="65">
        <v>26</v>
      </c>
      <c r="B76" s="98">
        <v>18</v>
      </c>
      <c r="C76" s="99">
        <v>54</v>
      </c>
      <c r="D76" s="100">
        <f>E34</f>
        <v>95.497691966474562</v>
      </c>
      <c r="E76" s="103">
        <f>E35</f>
        <v>0</v>
      </c>
      <c r="F76" s="104">
        <f>E36</f>
        <v>0</v>
      </c>
      <c r="G76" s="100">
        <f>E37</f>
        <v>98.376322253947237</v>
      </c>
      <c r="H76" s="100">
        <f>E38</f>
        <v>2.8786302874726744</v>
      </c>
      <c r="I76" s="97">
        <f>E39</f>
        <v>1.4188414157319081E-2</v>
      </c>
    </row>
    <row r="77" spans="1:9">
      <c r="A77" s="65">
        <v>26</v>
      </c>
      <c r="B77" s="98">
        <v>18</v>
      </c>
      <c r="C77" s="101">
        <v>55</v>
      </c>
      <c r="D77" s="105">
        <f>F34</f>
        <v>0</v>
      </c>
      <c r="E77" s="106">
        <f>F35</f>
        <v>0</v>
      </c>
      <c r="F77" s="107">
        <f>F36</f>
        <v>0</v>
      </c>
      <c r="G77" s="100">
        <f>F37</f>
        <v>0</v>
      </c>
      <c r="H77" s="100">
        <f>F38</f>
        <v>-2.9411710335464871</v>
      </c>
      <c r="I77" s="97">
        <f>F39</f>
        <v>0.7073803276452939</v>
      </c>
    </row>
    <row r="78" spans="1:9">
      <c r="A78" s="65">
        <v>26</v>
      </c>
      <c r="B78" s="98">
        <v>18</v>
      </c>
      <c r="C78" s="101">
        <v>56</v>
      </c>
      <c r="D78" s="108">
        <f>G34</f>
        <v>0</v>
      </c>
      <c r="E78" s="100">
        <f>G35</f>
        <v>0</v>
      </c>
      <c r="F78" s="97">
        <f>G36</f>
        <v>0</v>
      </c>
      <c r="G78" s="100">
        <f>G37</f>
        <v>3.4635008845357973E-2</v>
      </c>
      <c r="H78" s="100">
        <f>G38</f>
        <v>3.4635008845357973E-2</v>
      </c>
      <c r="I78" s="97">
        <f>G39</f>
        <v>0.93735211301523835</v>
      </c>
    </row>
    <row r="79" spans="1:9">
      <c r="A79" s="65">
        <v>26</v>
      </c>
      <c r="B79" s="98">
        <v>19</v>
      </c>
      <c r="C79" s="99">
        <v>51</v>
      </c>
      <c r="D79" s="100">
        <f>C40</f>
        <v>17.039956992610804</v>
      </c>
      <c r="E79" s="103">
        <f>C41</f>
        <v>0.86454771066302827</v>
      </c>
      <c r="F79" s="104">
        <f>C42</f>
        <v>5.5635737858986112E-4</v>
      </c>
      <c r="G79" s="100">
        <f>C43</f>
        <v>17.667111025944145</v>
      </c>
      <c r="H79" s="100">
        <f>C44</f>
        <v>0.62715403333334052</v>
      </c>
      <c r="I79" s="97">
        <f>C45</f>
        <v>7.7679289258393749E-2</v>
      </c>
    </row>
    <row r="80" spans="1:9">
      <c r="A80" s="65">
        <v>26</v>
      </c>
      <c r="B80" s="98">
        <v>19</v>
      </c>
      <c r="C80" s="99">
        <v>52</v>
      </c>
      <c r="D80" s="100">
        <f>D40</f>
        <v>136.60600000000002</v>
      </c>
      <c r="E80" s="100">
        <f>D41</f>
        <v>21.555550611790881</v>
      </c>
      <c r="F80" s="104">
        <f>D42</f>
        <v>0.14170231267765165</v>
      </c>
      <c r="G80" s="100">
        <f>D43</f>
        <v>138.06690474627027</v>
      </c>
      <c r="H80" s="100">
        <f>D44</f>
        <v>1.0694294147184191</v>
      </c>
      <c r="I80" s="97">
        <f>D45</f>
        <v>0.92674250313983331</v>
      </c>
    </row>
    <row r="81" spans="1:9">
      <c r="A81" s="65">
        <v>26</v>
      </c>
      <c r="B81" s="98">
        <v>19</v>
      </c>
      <c r="C81" s="99">
        <v>54</v>
      </c>
      <c r="D81" s="100">
        <f>E40</f>
        <v>77.575042930890149</v>
      </c>
      <c r="E81" s="103">
        <f>E41</f>
        <v>0</v>
      </c>
      <c r="F81" s="104">
        <f>E42</f>
        <v>0</v>
      </c>
      <c r="G81" s="100">
        <f>E43</f>
        <v>82.548039842167199</v>
      </c>
      <c r="H81" s="100">
        <f>E44</f>
        <v>4.9729969112770505</v>
      </c>
      <c r="I81" s="97">
        <f>E45</f>
        <v>6.7578925825230882E-2</v>
      </c>
    </row>
    <row r="82" spans="1:9">
      <c r="A82" s="65">
        <v>26</v>
      </c>
      <c r="B82" s="98">
        <v>19</v>
      </c>
      <c r="C82" s="101">
        <v>55</v>
      </c>
      <c r="D82" s="105">
        <f>F40</f>
        <v>0</v>
      </c>
      <c r="E82" s="106">
        <f>F41</f>
        <v>0</v>
      </c>
      <c r="F82" s="107">
        <f>F42</f>
        <v>0</v>
      </c>
      <c r="G82" s="100">
        <f>F43</f>
        <v>0</v>
      </c>
      <c r="H82" s="100">
        <f>F44</f>
        <v>-2.4165953664282478</v>
      </c>
      <c r="I82" s="97">
        <f>F45</f>
        <v>0.82277722654401297</v>
      </c>
    </row>
    <row r="83" spans="1:9">
      <c r="A83" s="65">
        <v>26</v>
      </c>
      <c r="B83" s="98">
        <v>19</v>
      </c>
      <c r="C83" s="101">
        <v>56</v>
      </c>
      <c r="D83" s="108">
        <f>G40</f>
        <v>0</v>
      </c>
      <c r="E83" s="106">
        <f>G41</f>
        <v>0</v>
      </c>
      <c r="F83" s="109">
        <f>G42</f>
        <v>0</v>
      </c>
      <c r="G83" s="100">
        <f>G43</f>
        <v>0.15665934718395302</v>
      </c>
      <c r="H83" s="100">
        <f>G44</f>
        <v>0.15665934718395302</v>
      </c>
      <c r="I83" s="97">
        <f>G45</f>
        <v>0.68807854909951205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1"/>
  <dimension ref="A1:O83"/>
  <sheetViews>
    <sheetView topLeftCell="A43" workbookViewId="0">
      <selection activeCell="D47" sqref="D47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19.651262095564157</v>
      </c>
      <c r="D4" s="31">
        <v>136.61035185759872</v>
      </c>
      <c r="E4" s="30">
        <v>92.02941306371531</v>
      </c>
      <c r="F4" s="30">
        <v>98.781256158494088</v>
      </c>
      <c r="G4" s="130">
        <v>6.3628215051102401</v>
      </c>
    </row>
    <row r="5" spans="1:8" ht="18.75">
      <c r="A5" s="178"/>
      <c r="B5" s="21" t="s">
        <v>17</v>
      </c>
      <c r="C5" s="131">
        <v>1.00246772424216</v>
      </c>
      <c r="D5" s="33">
        <v>2.4430858156551351E-2</v>
      </c>
      <c r="E5" s="34">
        <v>1.8117357397980196</v>
      </c>
      <c r="F5" s="34">
        <v>1.8117357397980196</v>
      </c>
      <c r="G5" s="132">
        <v>-0.50419909538290564</v>
      </c>
    </row>
    <row r="6" spans="1:8">
      <c r="A6" s="178"/>
      <c r="B6" s="22" t="s">
        <v>18</v>
      </c>
      <c r="C6" s="133">
        <v>1.5730182271120156E-4</v>
      </c>
      <c r="D6" s="37">
        <v>0.99756400226793407</v>
      </c>
      <c r="E6" s="37">
        <v>0.31435427259199222</v>
      </c>
      <c r="F6" s="37">
        <v>0.31435427259199222</v>
      </c>
      <c r="G6" s="134">
        <v>5.9747724350405341E-4</v>
      </c>
    </row>
    <row r="7" spans="1:8" ht="18.75">
      <c r="A7" s="178"/>
      <c r="B7" s="23" t="s">
        <v>19</v>
      </c>
      <c r="C7" s="78">
        <v>20.517893745564166</v>
      </c>
      <c r="D7" s="38">
        <v>128.0590103623579</v>
      </c>
      <c r="E7" s="112">
        <v>91.184913223708548</v>
      </c>
      <c r="F7" s="10">
        <v>100.90158920567778</v>
      </c>
      <c r="G7" s="113">
        <v>6.4410375845491821</v>
      </c>
    </row>
    <row r="8" spans="1:8" ht="18.75">
      <c r="A8" s="178"/>
      <c r="B8" s="21" t="s">
        <v>20</v>
      </c>
      <c r="C8" s="135">
        <v>0.8666316500000093</v>
      </c>
      <c r="D8" s="40">
        <v>-6.2596584951004672</v>
      </c>
      <c r="E8" s="136">
        <v>-0.84449984000676181</v>
      </c>
      <c r="F8" s="10">
        <v>2.1464933021115087</v>
      </c>
      <c r="G8" s="137">
        <v>7.8216079438941932E-2</v>
      </c>
    </row>
    <row r="9" spans="1:8" ht="16.5" thickBot="1">
      <c r="A9" s="179"/>
      <c r="B9" s="25" t="s">
        <v>21</v>
      </c>
      <c r="C9" s="146">
        <v>4.3927668185216699E-3</v>
      </c>
      <c r="D9" s="139">
        <v>0.44475236334580714</v>
      </c>
      <c r="E9" s="147">
        <v>0.42028725292086178</v>
      </c>
      <c r="F9" s="47">
        <v>8.2781875230133639E-2</v>
      </c>
      <c r="G9" s="141">
        <v>0.46722194494953206</v>
      </c>
    </row>
    <row r="10" spans="1:8" ht="18.75">
      <c r="A10" s="180" t="s">
        <v>2</v>
      </c>
      <c r="B10" s="20" t="s">
        <v>16</v>
      </c>
      <c r="C10" s="129">
        <v>10.873599732075839</v>
      </c>
      <c r="D10" s="31">
        <v>93.063314823745543</v>
      </c>
      <c r="E10" s="30">
        <v>94.691791002286436</v>
      </c>
      <c r="F10" s="30">
        <v>89.00488014248053</v>
      </c>
      <c r="G10" s="130">
        <v>5.8924389200202345</v>
      </c>
    </row>
    <row r="11" spans="1:8" ht="18.75">
      <c r="A11" s="178"/>
      <c r="B11" s="21" t="s">
        <v>17</v>
      </c>
      <c r="C11" s="131">
        <v>0.18905379904344571</v>
      </c>
      <c r="D11" s="33">
        <v>7.3235261542446972</v>
      </c>
      <c r="E11" s="34">
        <v>1.071685522108748</v>
      </c>
      <c r="F11" s="34">
        <v>1.071685522108748</v>
      </c>
      <c r="G11" s="132">
        <v>0.1579303590236204</v>
      </c>
    </row>
    <row r="12" spans="1:8">
      <c r="A12" s="178"/>
      <c r="B12" s="22" t="s">
        <v>18</v>
      </c>
      <c r="C12" s="133">
        <v>0.39574115759514072</v>
      </c>
      <c r="D12" s="37">
        <v>0.34051332696310155</v>
      </c>
      <c r="E12" s="37">
        <v>0.65458821078326768</v>
      </c>
      <c r="F12" s="37">
        <v>0.65458821078326768</v>
      </c>
      <c r="G12" s="134">
        <v>0.17062928730173788</v>
      </c>
    </row>
    <row r="13" spans="1:8" ht="18.75">
      <c r="A13" s="178"/>
      <c r="B13" s="23" t="s">
        <v>19</v>
      </c>
      <c r="C13" s="78">
        <v>12.467094065409171</v>
      </c>
      <c r="D13" s="38">
        <v>93.58535152811109</v>
      </c>
      <c r="E13" s="112">
        <v>99.894745506831953</v>
      </c>
      <c r="F13" s="10">
        <v>89.029438823949931</v>
      </c>
      <c r="G13" s="113">
        <v>6.2263533176908634</v>
      </c>
    </row>
    <row r="14" spans="1:8" ht="18.75">
      <c r="A14" s="178"/>
      <c r="B14" s="21" t="s">
        <v>20</v>
      </c>
      <c r="C14" s="135">
        <v>1.5934943333333322</v>
      </c>
      <c r="D14" s="10">
        <v>0.56094789375840015</v>
      </c>
      <c r="E14" s="11">
        <v>5.2029545045455166</v>
      </c>
      <c r="F14" s="10">
        <v>2.759251114105489E-2</v>
      </c>
      <c r="G14" s="137">
        <v>0.33391439767062892</v>
      </c>
    </row>
    <row r="15" spans="1:8" ht="16.5" thickBot="1">
      <c r="A15" s="181"/>
      <c r="B15" s="26" t="s">
        <v>21</v>
      </c>
      <c r="C15" s="149">
        <v>2.2148221437025617E-6</v>
      </c>
      <c r="D15" s="48">
        <v>0.95139596848199814</v>
      </c>
      <c r="E15" s="121">
        <v>2.9278591563396294E-5</v>
      </c>
      <c r="F15" s="43">
        <v>0.98780327994531003</v>
      </c>
      <c r="G15" s="143">
        <v>2.3465918340443984E-2</v>
      </c>
    </row>
    <row r="16" spans="1:8" ht="18.75">
      <c r="A16" s="177" t="s">
        <v>3</v>
      </c>
      <c r="B16" s="24" t="s">
        <v>16</v>
      </c>
      <c r="C16" s="144">
        <v>1.6510222234444492</v>
      </c>
      <c r="D16" s="45">
        <v>43.682555559335512</v>
      </c>
      <c r="E16" s="44">
        <v>84.699945639840593</v>
      </c>
      <c r="F16" s="44">
        <v>75.400497619822815</v>
      </c>
      <c r="G16" s="145">
        <v>3.1962367928064404</v>
      </c>
    </row>
    <row r="17" spans="1:7" ht="18.75">
      <c r="A17" s="178"/>
      <c r="B17" s="21" t="s">
        <v>17</v>
      </c>
      <c r="C17" s="131">
        <v>1.2055271307882989</v>
      </c>
      <c r="D17" s="33">
        <v>1.5835125502312708</v>
      </c>
      <c r="E17" s="34">
        <v>4.6095260766477288</v>
      </c>
      <c r="F17" s="34">
        <v>4.6095260766477288</v>
      </c>
      <c r="G17" s="132">
        <v>0.20317815675929773</v>
      </c>
    </row>
    <row r="18" spans="1:7">
      <c r="A18" s="178"/>
      <c r="B18" s="22" t="s">
        <v>18</v>
      </c>
      <c r="C18" s="133">
        <v>4.2026580000017001E-2</v>
      </c>
      <c r="D18" s="37">
        <v>0.67009658788534698</v>
      </c>
      <c r="E18" s="37">
        <v>0.19456966153971511</v>
      </c>
      <c r="F18" s="37">
        <v>0.19456966153971511</v>
      </c>
      <c r="G18" s="134">
        <v>0.21546597795715905</v>
      </c>
    </row>
    <row r="19" spans="1:7" ht="18.75">
      <c r="A19" s="178"/>
      <c r="B19" s="23" t="s">
        <v>19</v>
      </c>
      <c r="C19" s="78">
        <v>2.8680363567777825</v>
      </c>
      <c r="D19" s="38">
        <v>41.437247647730928</v>
      </c>
      <c r="E19" s="112">
        <v>88.723380825525851</v>
      </c>
      <c r="F19" s="10">
        <v>74.428386706025151</v>
      </c>
      <c r="G19" s="113">
        <v>3.3373735726985632</v>
      </c>
    </row>
    <row r="20" spans="1:7" ht="18.75">
      <c r="A20" s="178"/>
      <c r="B20" s="21" t="s">
        <v>20</v>
      </c>
      <c r="C20" s="135">
        <v>1.2170141333333331</v>
      </c>
      <c r="D20" s="10">
        <v>-5.1400562143272674</v>
      </c>
      <c r="E20" s="11">
        <v>4.0234351856852584</v>
      </c>
      <c r="F20" s="10">
        <v>-1.2892632601699083</v>
      </c>
      <c r="G20" s="137">
        <v>0.14113677989212281</v>
      </c>
    </row>
    <row r="21" spans="1:7" ht="16.5" thickBot="1">
      <c r="A21" s="179"/>
      <c r="B21" s="25" t="s">
        <v>21</v>
      </c>
      <c r="C21" s="146">
        <v>1.5772808503972204E-2</v>
      </c>
      <c r="D21" s="46">
        <v>0.55518999090290788</v>
      </c>
      <c r="E21" s="89">
        <v>3.4525878167564319E-2</v>
      </c>
      <c r="F21" s="47">
        <v>0.64934629140105693</v>
      </c>
      <c r="G21" s="141">
        <v>0.32335723551199003</v>
      </c>
    </row>
    <row r="22" spans="1:7" ht="18.75">
      <c r="A22" s="180" t="s">
        <v>4</v>
      </c>
      <c r="B22" s="20" t="s">
        <v>16</v>
      </c>
      <c r="C22" s="129">
        <v>-3.2213548038801312</v>
      </c>
      <c r="D22" s="31">
        <v>105.52222221911779</v>
      </c>
      <c r="E22" s="30">
        <v>89.383980803400576</v>
      </c>
      <c r="F22" s="30">
        <v>96.062532375866056</v>
      </c>
      <c r="G22" s="130">
        <v>24.902494356963626</v>
      </c>
    </row>
    <row r="23" spans="1:7" ht="18.75">
      <c r="A23" s="178"/>
      <c r="B23" s="21" t="s">
        <v>17</v>
      </c>
      <c r="C23" s="131">
        <v>0.41052685565811997</v>
      </c>
      <c r="D23" s="33">
        <v>3.0130836682667765</v>
      </c>
      <c r="E23" s="34">
        <v>-4.9264697923598159E-2</v>
      </c>
      <c r="F23" s="34">
        <v>-4.9264697923598159E-2</v>
      </c>
      <c r="G23" s="132">
        <v>0.75085038733093545</v>
      </c>
    </row>
    <row r="24" spans="1:7">
      <c r="A24" s="178"/>
      <c r="B24" s="22" t="s">
        <v>18</v>
      </c>
      <c r="C24" s="133">
        <v>0.41811474052070463</v>
      </c>
      <c r="D24" s="37">
        <v>0.61203047785402409</v>
      </c>
      <c r="E24" s="37">
        <v>0.9271985094249009</v>
      </c>
      <c r="F24" s="37">
        <v>0.9271985094249009</v>
      </c>
      <c r="G24" s="134">
        <v>0.39143641885965785</v>
      </c>
    </row>
    <row r="25" spans="1:7" ht="18.75">
      <c r="A25" s="178"/>
      <c r="B25" s="23" t="s">
        <v>19</v>
      </c>
      <c r="C25" s="78">
        <v>-1.7947959594356866</v>
      </c>
      <c r="D25" s="38">
        <v>118.81117873857443</v>
      </c>
      <c r="E25" s="112">
        <v>90.25753100234185</v>
      </c>
      <c r="F25" s="10">
        <v>95.764901188512567</v>
      </c>
      <c r="G25" s="113">
        <v>25.061031277011729</v>
      </c>
    </row>
    <row r="26" spans="1:7" ht="18.75">
      <c r="A26" s="178"/>
      <c r="B26" s="21" t="s">
        <v>20</v>
      </c>
      <c r="C26" s="135">
        <v>1.4265588444444446</v>
      </c>
      <c r="D26" s="10">
        <v>12.593514655009832</v>
      </c>
      <c r="E26" s="11">
        <v>0.87355019894127395</v>
      </c>
      <c r="F26" s="10">
        <v>-0.30983066966102957</v>
      </c>
      <c r="G26" s="115">
        <v>0.15853692004810327</v>
      </c>
    </row>
    <row r="27" spans="1:7" ht="16.5" thickBot="1">
      <c r="A27" s="181"/>
      <c r="B27" s="26" t="s">
        <v>21</v>
      </c>
      <c r="C27" s="149">
        <v>5.6366369058371783E-3</v>
      </c>
      <c r="D27" s="48">
        <v>5.7553950855435188E-2</v>
      </c>
      <c r="E27" s="121">
        <v>0.61891822120745887</v>
      </c>
      <c r="F27" s="43">
        <v>0.53787316416293962</v>
      </c>
      <c r="G27" s="122">
        <v>0.75772135113615757</v>
      </c>
    </row>
    <row r="28" spans="1:7" ht="18.75">
      <c r="A28" s="177" t="s">
        <v>5</v>
      </c>
      <c r="B28" s="24" t="s">
        <v>16</v>
      </c>
      <c r="C28" s="144">
        <v>8.474630896261413</v>
      </c>
      <c r="D28" s="45">
        <v>130.63624073737307</v>
      </c>
      <c r="E28" s="44">
        <v>97.234559133311237</v>
      </c>
      <c r="F28" s="44">
        <v>98.205885392762625</v>
      </c>
      <c r="G28" s="145">
        <v>34.378316880826652</v>
      </c>
    </row>
    <row r="29" spans="1:7" ht="18.75">
      <c r="A29" s="178"/>
      <c r="B29" s="21" t="s">
        <v>17</v>
      </c>
      <c r="C29" s="131">
        <v>0.48962688756404815</v>
      </c>
      <c r="D29" s="33">
        <v>3.3391682097512487</v>
      </c>
      <c r="E29" s="34">
        <v>4.4570916175883921</v>
      </c>
      <c r="F29" s="34">
        <v>4.4570916175883921</v>
      </c>
      <c r="G29" s="132">
        <v>-6.6901877539158106E-2</v>
      </c>
    </row>
    <row r="30" spans="1:7">
      <c r="A30" s="178"/>
      <c r="B30" s="22" t="s">
        <v>18</v>
      </c>
      <c r="C30" s="133">
        <v>6.2601822388410597E-2</v>
      </c>
      <c r="D30" s="37">
        <v>0.63960257836714851</v>
      </c>
      <c r="E30" s="49">
        <v>0.12459849294636527</v>
      </c>
      <c r="F30" s="49">
        <v>0.12459849294636527</v>
      </c>
      <c r="G30" s="134">
        <v>0.85652672592597145</v>
      </c>
    </row>
    <row r="31" spans="1:7" ht="18.75">
      <c r="A31" s="178"/>
      <c r="B31" s="23" t="s">
        <v>19</v>
      </c>
      <c r="C31" s="78">
        <v>9.2542161184836385</v>
      </c>
      <c r="D31" s="38">
        <v>133.81946767216999</v>
      </c>
      <c r="E31" s="112">
        <v>93.844177835085333</v>
      </c>
      <c r="F31" s="10">
        <v>97.418992920320676</v>
      </c>
      <c r="G31" s="113">
        <v>32.901264668555136</v>
      </c>
    </row>
    <row r="32" spans="1:7" ht="18.75">
      <c r="A32" s="178"/>
      <c r="B32" s="21" t="s">
        <v>20</v>
      </c>
      <c r="C32" s="135">
        <v>0.77958522222222548</v>
      </c>
      <c r="D32" s="10">
        <v>2.4367104540281201</v>
      </c>
      <c r="E32" s="11">
        <v>-3.3903812982259041</v>
      </c>
      <c r="F32" s="10">
        <v>-0.80126814120647949</v>
      </c>
      <c r="G32" s="115">
        <v>-1.4770522122715164</v>
      </c>
    </row>
    <row r="33" spans="1:15" ht="16.5" thickBot="1">
      <c r="A33" s="179"/>
      <c r="B33" s="25" t="s">
        <v>21</v>
      </c>
      <c r="C33" s="146">
        <v>2.5784829157421908E-3</v>
      </c>
      <c r="D33" s="46">
        <v>0.73635804710840769</v>
      </c>
      <c r="E33" s="117">
        <v>8.2307868674101493E-3</v>
      </c>
      <c r="F33" s="47">
        <v>0.16260185693847518</v>
      </c>
      <c r="G33" s="118">
        <v>3.3603043477155826E-3</v>
      </c>
    </row>
    <row r="34" spans="1:15" ht="18.75">
      <c r="A34" s="177" t="s">
        <v>6</v>
      </c>
      <c r="B34" s="24" t="s">
        <v>16</v>
      </c>
      <c r="C34" s="129">
        <v>18.227177779727509</v>
      </c>
      <c r="D34" s="31">
        <v>82.394907403418856</v>
      </c>
      <c r="E34" s="30">
        <v>93.001605445167698</v>
      </c>
      <c r="F34" s="30">
        <v>78.200736623430032</v>
      </c>
      <c r="G34" s="130">
        <v>6.497909651834771</v>
      </c>
    </row>
    <row r="35" spans="1:15" ht="18.75">
      <c r="A35" s="178"/>
      <c r="B35" s="21" t="s">
        <v>17</v>
      </c>
      <c r="C35" s="131">
        <v>0.53700457562448145</v>
      </c>
      <c r="D35" s="33">
        <v>-11.842015828486085</v>
      </c>
      <c r="E35" s="34">
        <v>4.4570916175883921</v>
      </c>
      <c r="F35" s="34">
        <v>4.4570916175883921</v>
      </c>
      <c r="G35" s="132">
        <v>0.14434101907419777</v>
      </c>
    </row>
    <row r="36" spans="1:15">
      <c r="A36" s="178"/>
      <c r="B36" s="22" t="s">
        <v>18</v>
      </c>
      <c r="C36" s="133">
        <v>0.11792593627036999</v>
      </c>
      <c r="D36" s="37">
        <v>7.7423503773189739E-2</v>
      </c>
      <c r="E36" s="37">
        <v>0.12459849294636527</v>
      </c>
      <c r="F36" s="37">
        <v>0.12459849294636527</v>
      </c>
      <c r="G36" s="134">
        <v>0.56924726342210796</v>
      </c>
    </row>
    <row r="37" spans="1:15" ht="18.75">
      <c r="A37" s="178"/>
      <c r="B37" s="23" t="s">
        <v>19</v>
      </c>
      <c r="C37" s="78">
        <v>19.247402213060845</v>
      </c>
      <c r="D37" s="38">
        <v>85.855472851896792</v>
      </c>
      <c r="E37" s="112">
        <v>90.971877813468211</v>
      </c>
      <c r="F37" s="10">
        <v>76.030080688515355</v>
      </c>
      <c r="G37" s="113">
        <v>6.1699821967075019</v>
      </c>
    </row>
    <row r="38" spans="1:15" ht="18.75">
      <c r="A38" s="178"/>
      <c r="B38" s="21" t="s">
        <v>20</v>
      </c>
      <c r="C38" s="135">
        <v>1.0202244333333361</v>
      </c>
      <c r="D38" s="10">
        <v>4.1999749226423004</v>
      </c>
      <c r="E38" s="11">
        <v>-2.0297276316994868</v>
      </c>
      <c r="F38" s="10">
        <v>-2.7757487060093946</v>
      </c>
      <c r="G38" s="115">
        <v>-0.32792745512726906</v>
      </c>
    </row>
    <row r="39" spans="1:15" ht="16.5" thickBot="1">
      <c r="A39" s="179"/>
      <c r="B39" s="25" t="s">
        <v>21</v>
      </c>
      <c r="C39" s="149">
        <v>7.6733872934961369E-4</v>
      </c>
      <c r="D39" s="48">
        <v>0.58974231587430292</v>
      </c>
      <c r="E39" s="121">
        <v>4.642858547814167E-3</v>
      </c>
      <c r="F39" s="43">
        <v>0.55336385628891605</v>
      </c>
      <c r="G39" s="122">
        <v>0.26537931379960988</v>
      </c>
    </row>
    <row r="40" spans="1:15" ht="18.75">
      <c r="A40" s="180" t="s">
        <v>7</v>
      </c>
      <c r="B40" s="20" t="s">
        <v>16</v>
      </c>
      <c r="C40" s="144">
        <v>20.121827357792366</v>
      </c>
      <c r="D40" s="45">
        <v>77.437092602352848</v>
      </c>
      <c r="E40" s="44">
        <v>93.661351369260501</v>
      </c>
      <c r="F40" s="44">
        <v>75.82869024824619</v>
      </c>
      <c r="G40" s="145">
        <v>4.9886173663284605</v>
      </c>
    </row>
    <row r="41" spans="1:15" ht="18.75">
      <c r="A41" s="178"/>
      <c r="B41" s="21" t="s">
        <v>17</v>
      </c>
      <c r="C41" s="131">
        <v>1.1321222679329015</v>
      </c>
      <c r="D41" s="33">
        <v>-0.90982200854050965</v>
      </c>
      <c r="E41" s="34">
        <v>0.34772520405837748</v>
      </c>
      <c r="F41" s="34">
        <v>0.34772520405837748</v>
      </c>
      <c r="G41" s="132">
        <v>0.17793917674660509</v>
      </c>
    </row>
    <row r="42" spans="1:15">
      <c r="A42" s="178"/>
      <c r="B42" s="22" t="s">
        <v>18</v>
      </c>
      <c r="C42" s="133">
        <v>7.8960036237958229E-4</v>
      </c>
      <c r="D42" s="37">
        <v>0.8878302912964926</v>
      </c>
      <c r="E42" s="49">
        <v>0.9060358002559189</v>
      </c>
      <c r="F42" s="49">
        <v>0.9060358002559189</v>
      </c>
      <c r="G42" s="134">
        <v>0.41685881584877127</v>
      </c>
    </row>
    <row r="43" spans="1:15" ht="18.75">
      <c r="A43" s="178"/>
      <c r="B43" s="23" t="s">
        <v>19</v>
      </c>
      <c r="C43" s="78">
        <v>20.752716357792373</v>
      </c>
      <c r="D43" s="38">
        <v>71.824535886772097</v>
      </c>
      <c r="E43" s="112">
        <v>97.167231698078055</v>
      </c>
      <c r="F43" s="10">
        <v>79.670217590755044</v>
      </c>
      <c r="G43" s="113">
        <v>5.3717691190652186</v>
      </c>
    </row>
    <row r="44" spans="1:15" ht="18.75">
      <c r="A44" s="178"/>
      <c r="B44" s="21" t="s">
        <v>20</v>
      </c>
      <c r="C44" s="135">
        <v>0.63088900000000692</v>
      </c>
      <c r="D44" s="10">
        <v>-7.2478918396404479</v>
      </c>
      <c r="E44" s="11">
        <v>3.505880328817554</v>
      </c>
      <c r="F44" s="10">
        <v>5.0660605239686323</v>
      </c>
      <c r="G44" s="137">
        <v>0.38315175273675806</v>
      </c>
    </row>
    <row r="45" spans="1:15" ht="16.5" thickBot="1">
      <c r="A45" s="179"/>
      <c r="B45" s="25" t="s">
        <v>21</v>
      </c>
      <c r="C45" s="149">
        <v>6.6652804777731708E-2</v>
      </c>
      <c r="D45" s="48">
        <v>0.47276702376025515</v>
      </c>
      <c r="E45" s="121">
        <v>7.485727346926517E-2</v>
      </c>
      <c r="F45" s="43">
        <v>0.41052939475563799</v>
      </c>
      <c r="G45" s="143">
        <v>0.2250719252626161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19.651262095564157</v>
      </c>
      <c r="E49" s="100">
        <f>C5</f>
        <v>1.00246772424216</v>
      </c>
      <c r="F49" s="97">
        <f>C6</f>
        <v>1.5730182271120156E-4</v>
      </c>
      <c r="G49" s="100">
        <f>C7</f>
        <v>20.517893745564166</v>
      </c>
      <c r="H49" s="100">
        <f>C8</f>
        <v>0.8666316500000093</v>
      </c>
      <c r="I49" s="97">
        <f>C9</f>
        <v>4.3927668185216699E-3</v>
      </c>
    </row>
    <row r="50" spans="1:9">
      <c r="A50" s="65">
        <v>26</v>
      </c>
      <c r="B50" s="98">
        <v>13</v>
      </c>
      <c r="C50" s="99">
        <v>52</v>
      </c>
      <c r="D50" s="100">
        <f>D4</f>
        <v>136.61035185759872</v>
      </c>
      <c r="E50" s="100">
        <f>D5</f>
        <v>2.4430858156551351E-2</v>
      </c>
      <c r="F50" s="97">
        <f>D6</f>
        <v>0.99756400226793407</v>
      </c>
      <c r="G50" s="100">
        <f>D7</f>
        <v>128.0590103623579</v>
      </c>
      <c r="H50" s="100">
        <f>D8</f>
        <v>-6.2596584951004672</v>
      </c>
      <c r="I50" s="97">
        <f>D9</f>
        <v>0.44475236334580714</v>
      </c>
    </row>
    <row r="51" spans="1:9">
      <c r="A51" s="65">
        <v>26</v>
      </c>
      <c r="B51" s="98">
        <v>13</v>
      </c>
      <c r="C51" s="99">
        <v>54</v>
      </c>
      <c r="D51" s="100">
        <f>E4</f>
        <v>92.02941306371531</v>
      </c>
      <c r="E51" s="100">
        <f>E5</f>
        <v>1.8117357397980196</v>
      </c>
      <c r="F51" s="97">
        <f>E6</f>
        <v>0.31435427259199222</v>
      </c>
      <c r="G51" s="100">
        <f>E7</f>
        <v>91.184913223708548</v>
      </c>
      <c r="H51" s="100">
        <f>E8</f>
        <v>-0.84449984000676181</v>
      </c>
      <c r="I51" s="97">
        <f>E9</f>
        <v>0.42028725292086178</v>
      </c>
    </row>
    <row r="52" spans="1:9">
      <c r="A52" s="65">
        <v>26</v>
      </c>
      <c r="B52" s="98">
        <v>13</v>
      </c>
      <c r="C52" s="101">
        <v>55</v>
      </c>
      <c r="D52" s="100">
        <f>F4</f>
        <v>98.781256158494088</v>
      </c>
      <c r="E52" s="100">
        <f>F5</f>
        <v>1.8117357397980196</v>
      </c>
      <c r="F52" s="97">
        <f>F6</f>
        <v>0.31435427259199222</v>
      </c>
      <c r="G52" s="100">
        <f>F7</f>
        <v>100.90158920567778</v>
      </c>
      <c r="H52" s="100">
        <f>F8</f>
        <v>2.1464933021115087</v>
      </c>
      <c r="I52" s="97">
        <f>F9</f>
        <v>8.2781875230133639E-2</v>
      </c>
    </row>
    <row r="53" spans="1:9">
      <c r="A53" s="65">
        <v>26</v>
      </c>
      <c r="B53" s="98">
        <v>13</v>
      </c>
      <c r="C53" s="101">
        <v>56</v>
      </c>
      <c r="D53" s="100">
        <f>G4</f>
        <v>6.3628215051102401</v>
      </c>
      <c r="E53" s="100">
        <f>G5</f>
        <v>-0.50419909538290564</v>
      </c>
      <c r="F53" s="97">
        <f>G6</f>
        <v>5.9747724350405341E-4</v>
      </c>
      <c r="G53" s="100">
        <f>G7</f>
        <v>6.4410375845491821</v>
      </c>
      <c r="H53" s="100">
        <f>G8</f>
        <v>7.8216079438941932E-2</v>
      </c>
      <c r="I53" s="97">
        <f>G9</f>
        <v>0.46722194494953206</v>
      </c>
    </row>
    <row r="54" spans="1:9">
      <c r="A54" s="65">
        <v>26</v>
      </c>
      <c r="B54" s="98">
        <v>14</v>
      </c>
      <c r="C54" s="99">
        <v>51</v>
      </c>
      <c r="D54" s="100">
        <f>C10</f>
        <v>10.873599732075839</v>
      </c>
      <c r="E54" s="100">
        <f>C11</f>
        <v>0.18905379904344571</v>
      </c>
      <c r="F54" s="97">
        <f>C12</f>
        <v>0.39574115759514072</v>
      </c>
      <c r="G54" s="100">
        <f>C13</f>
        <v>12.467094065409171</v>
      </c>
      <c r="H54" s="100">
        <f>C14</f>
        <v>1.5934943333333322</v>
      </c>
      <c r="I54" s="97">
        <f>C15</f>
        <v>2.2148221437025617E-6</v>
      </c>
    </row>
    <row r="55" spans="1:9">
      <c r="A55" s="65">
        <v>26</v>
      </c>
      <c r="B55" s="98">
        <v>14</v>
      </c>
      <c r="C55" s="99">
        <v>52</v>
      </c>
      <c r="D55" s="100">
        <f>D10</f>
        <v>93.063314823745543</v>
      </c>
      <c r="E55" s="100">
        <f>D11</f>
        <v>7.3235261542446972</v>
      </c>
      <c r="F55" s="97">
        <f>D12</f>
        <v>0.34051332696310155</v>
      </c>
      <c r="G55" s="100">
        <f>D13</f>
        <v>93.58535152811109</v>
      </c>
      <c r="H55" s="100">
        <f>D14</f>
        <v>0.56094789375840015</v>
      </c>
      <c r="I55" s="97">
        <f>D15</f>
        <v>0.95139596848199814</v>
      </c>
    </row>
    <row r="56" spans="1:9">
      <c r="A56" s="65">
        <v>26</v>
      </c>
      <c r="B56" s="98">
        <v>14</v>
      </c>
      <c r="C56" s="99">
        <v>54</v>
      </c>
      <c r="D56" s="100">
        <f>E10</f>
        <v>94.691791002286436</v>
      </c>
      <c r="E56" s="100">
        <f>E11</f>
        <v>1.071685522108748</v>
      </c>
      <c r="F56" s="97">
        <f>E12</f>
        <v>0.65458821078326768</v>
      </c>
      <c r="G56" s="100">
        <f>E13</f>
        <v>99.894745506831953</v>
      </c>
      <c r="H56" s="100">
        <f>E14</f>
        <v>5.2029545045455166</v>
      </c>
      <c r="I56" s="97">
        <f>E15</f>
        <v>2.9278591563396294E-5</v>
      </c>
    </row>
    <row r="57" spans="1:9">
      <c r="A57" s="65">
        <v>26</v>
      </c>
      <c r="B57" s="98">
        <v>14</v>
      </c>
      <c r="C57" s="101">
        <v>55</v>
      </c>
      <c r="D57" s="100">
        <f>F10</f>
        <v>89.00488014248053</v>
      </c>
      <c r="E57" s="100">
        <f>F11</f>
        <v>1.071685522108748</v>
      </c>
      <c r="F57" s="97">
        <f>F12</f>
        <v>0.65458821078326768</v>
      </c>
      <c r="G57" s="100">
        <f>F13</f>
        <v>89.029438823949931</v>
      </c>
      <c r="H57" s="100">
        <f>F14</f>
        <v>2.759251114105489E-2</v>
      </c>
      <c r="I57" s="97">
        <f>F15</f>
        <v>0.98780327994531003</v>
      </c>
    </row>
    <row r="58" spans="1:9">
      <c r="A58" s="65">
        <v>26</v>
      </c>
      <c r="B58" s="98">
        <v>14</v>
      </c>
      <c r="C58" s="101">
        <v>56</v>
      </c>
      <c r="D58" s="100">
        <f>G10</f>
        <v>5.8924389200202345</v>
      </c>
      <c r="E58" s="100">
        <f>G11</f>
        <v>0.1579303590236204</v>
      </c>
      <c r="F58" s="97">
        <f>G12</f>
        <v>0.17062928730173788</v>
      </c>
      <c r="G58" s="100">
        <f>G13</f>
        <v>6.2263533176908634</v>
      </c>
      <c r="H58" s="100">
        <f>G14</f>
        <v>0.33391439767062892</v>
      </c>
      <c r="I58" s="97">
        <f>G15</f>
        <v>2.3465918340443984E-2</v>
      </c>
    </row>
    <row r="59" spans="1:9">
      <c r="A59" s="65">
        <v>26</v>
      </c>
      <c r="B59" s="98">
        <v>15</v>
      </c>
      <c r="C59" s="99">
        <v>51</v>
      </c>
      <c r="D59" s="100">
        <f>C16</f>
        <v>1.6510222234444492</v>
      </c>
      <c r="E59" s="100">
        <f>C17</f>
        <v>1.2055271307882989</v>
      </c>
      <c r="F59" s="97">
        <f>C18</f>
        <v>4.2026580000017001E-2</v>
      </c>
      <c r="G59" s="100">
        <f>C19</f>
        <v>2.8680363567777825</v>
      </c>
      <c r="H59" s="100">
        <f>C20</f>
        <v>1.2170141333333331</v>
      </c>
      <c r="I59" s="97">
        <f>C21</f>
        <v>1.5772808503972204E-2</v>
      </c>
    </row>
    <row r="60" spans="1:9">
      <c r="A60" s="65">
        <v>26</v>
      </c>
      <c r="B60" s="98">
        <v>15</v>
      </c>
      <c r="C60" s="99">
        <v>52</v>
      </c>
      <c r="D60" s="100">
        <f>D16</f>
        <v>43.682555559335512</v>
      </c>
      <c r="E60" s="100">
        <f>D17</f>
        <v>1.5835125502312708</v>
      </c>
      <c r="F60" s="97">
        <f>D18</f>
        <v>0.67009658788534698</v>
      </c>
      <c r="G60" s="100">
        <f>D19</f>
        <v>41.437247647730928</v>
      </c>
      <c r="H60" s="100">
        <f>D20</f>
        <v>-5.1400562143272674</v>
      </c>
      <c r="I60" s="97">
        <f>D21</f>
        <v>0.55518999090290788</v>
      </c>
    </row>
    <row r="61" spans="1:9">
      <c r="A61" s="65">
        <v>26</v>
      </c>
      <c r="B61" s="98">
        <v>15</v>
      </c>
      <c r="C61" s="99">
        <v>54</v>
      </c>
      <c r="D61" s="100">
        <f>E16</f>
        <v>84.699945639840593</v>
      </c>
      <c r="E61" s="100">
        <f>E17</f>
        <v>4.6095260766477288</v>
      </c>
      <c r="F61" s="97">
        <f>E18</f>
        <v>0.19456966153971511</v>
      </c>
      <c r="G61" s="100">
        <f>E19</f>
        <v>88.723380825525851</v>
      </c>
      <c r="H61" s="100">
        <f>E20</f>
        <v>4.0234351856852584</v>
      </c>
      <c r="I61" s="97">
        <f>E21</f>
        <v>3.4525878167564319E-2</v>
      </c>
    </row>
    <row r="62" spans="1:9">
      <c r="A62" s="65">
        <v>26</v>
      </c>
      <c r="B62" s="98">
        <v>15</v>
      </c>
      <c r="C62" s="101">
        <v>55</v>
      </c>
      <c r="D62" s="102">
        <f>F16</f>
        <v>75.400497619822815</v>
      </c>
      <c r="E62" s="100">
        <f>F17</f>
        <v>4.6095260766477288</v>
      </c>
      <c r="F62" s="97">
        <f>F18</f>
        <v>0.19456966153971511</v>
      </c>
      <c r="G62" s="100">
        <f>F19</f>
        <v>74.428386706025151</v>
      </c>
      <c r="H62" s="100">
        <f>F20</f>
        <v>-1.2892632601699083</v>
      </c>
      <c r="I62" s="97">
        <f>F21</f>
        <v>0.64934629140105693</v>
      </c>
    </row>
    <row r="63" spans="1:9">
      <c r="A63" s="65">
        <v>26</v>
      </c>
      <c r="B63" s="98">
        <v>15</v>
      </c>
      <c r="C63" s="101">
        <v>56</v>
      </c>
      <c r="D63" s="102">
        <f>G16</f>
        <v>3.1962367928064404</v>
      </c>
      <c r="E63" s="100">
        <f>G17</f>
        <v>0.20317815675929773</v>
      </c>
      <c r="F63" s="97">
        <f>G18</f>
        <v>0.21546597795715905</v>
      </c>
      <c r="G63" s="100">
        <f>G19</f>
        <v>3.3373735726985632</v>
      </c>
      <c r="H63" s="100">
        <f>G20</f>
        <v>0.14113677989212281</v>
      </c>
      <c r="I63" s="97">
        <f>G21</f>
        <v>0.32335723551199003</v>
      </c>
    </row>
    <row r="64" spans="1:9">
      <c r="A64" s="65">
        <v>26</v>
      </c>
      <c r="B64" s="98">
        <v>16</v>
      </c>
      <c r="C64" s="99">
        <v>51</v>
      </c>
      <c r="D64" s="100">
        <f>C22</f>
        <v>-3.2213548038801312</v>
      </c>
      <c r="E64" s="103">
        <f>C23</f>
        <v>0.41052685565811997</v>
      </c>
      <c r="F64" s="104">
        <f>C24</f>
        <v>0.41811474052070463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105.52222221911779</v>
      </c>
      <c r="E65" s="103">
        <f>D23</f>
        <v>3.0130836682667765</v>
      </c>
      <c r="F65" s="104">
        <f>D24</f>
        <v>0.61203047785402409</v>
      </c>
      <c r="G65" s="100">
        <f>D25</f>
        <v>118.81117873857443</v>
      </c>
      <c r="H65" s="100">
        <f>D26</f>
        <v>12.593514655009832</v>
      </c>
      <c r="I65" s="97">
        <f>D27</f>
        <v>5.7553950855435188E-2</v>
      </c>
    </row>
    <row r="66" spans="1:9">
      <c r="A66" s="65">
        <v>26</v>
      </c>
      <c r="B66" s="98">
        <v>16</v>
      </c>
      <c r="C66" s="99">
        <v>54</v>
      </c>
      <c r="D66" s="100">
        <f>E22</f>
        <v>89.383980803400576</v>
      </c>
      <c r="E66" s="103">
        <f>E23</f>
        <v>-4.9264697923598159E-2</v>
      </c>
      <c r="F66" s="104">
        <f>E24</f>
        <v>0.9271985094249009</v>
      </c>
      <c r="G66" s="100">
        <f>E25</f>
        <v>90.25753100234185</v>
      </c>
      <c r="H66" s="100">
        <f>E26</f>
        <v>0.87355019894127395</v>
      </c>
      <c r="I66" s="97">
        <f>E27</f>
        <v>0.61891822120745887</v>
      </c>
    </row>
    <row r="67" spans="1:9">
      <c r="A67" s="65">
        <v>26</v>
      </c>
      <c r="B67" s="98">
        <v>16</v>
      </c>
      <c r="C67" s="101">
        <v>55</v>
      </c>
      <c r="D67" s="105">
        <f>F22</f>
        <v>96.062532375866056</v>
      </c>
      <c r="E67" s="106">
        <f>F23</f>
        <v>-4.9264697923598159E-2</v>
      </c>
      <c r="F67" s="107">
        <f>F24</f>
        <v>0.9271985094249009</v>
      </c>
      <c r="G67" s="100">
        <f>F25</f>
        <v>95.764901188512567</v>
      </c>
      <c r="H67" s="100">
        <f>F26</f>
        <v>-0.30983066966102957</v>
      </c>
      <c r="I67" s="97">
        <f>F27</f>
        <v>0.53787316416293962</v>
      </c>
    </row>
    <row r="68" spans="1:9">
      <c r="A68" s="65">
        <v>26</v>
      </c>
      <c r="B68" s="98">
        <v>16</v>
      </c>
      <c r="C68" s="101">
        <v>56</v>
      </c>
      <c r="D68" s="108">
        <f>G22</f>
        <v>24.902494356963626</v>
      </c>
      <c r="E68" s="100">
        <f>G23</f>
        <v>0.75085038733093545</v>
      </c>
      <c r="F68" s="97">
        <f>G24</f>
        <v>0.39143641885965785</v>
      </c>
      <c r="G68" s="100">
        <f>G25</f>
        <v>25.061031277011729</v>
      </c>
      <c r="H68" s="100">
        <f>G23</f>
        <v>0.75085038733093545</v>
      </c>
      <c r="I68" s="97">
        <f>G24</f>
        <v>0.39143641885965785</v>
      </c>
    </row>
    <row r="69" spans="1:9">
      <c r="A69" s="65">
        <v>26</v>
      </c>
      <c r="B69" s="98">
        <v>17</v>
      </c>
      <c r="C69" s="99">
        <v>51</v>
      </c>
      <c r="D69" s="100">
        <f>C28</f>
        <v>8.474630896261413</v>
      </c>
      <c r="E69" s="103">
        <f>C29</f>
        <v>0.48962688756404815</v>
      </c>
      <c r="F69" s="104">
        <f>C30</f>
        <v>6.2601822388410597E-2</v>
      </c>
      <c r="G69" s="100">
        <f>C31</f>
        <v>9.2542161184836385</v>
      </c>
      <c r="H69" s="100">
        <f>C32</f>
        <v>0.77958522222222548</v>
      </c>
      <c r="I69" s="97">
        <f>C33</f>
        <v>2.5784829157421908E-3</v>
      </c>
    </row>
    <row r="70" spans="1:9">
      <c r="A70" s="65">
        <v>26</v>
      </c>
      <c r="B70" s="98">
        <v>17</v>
      </c>
      <c r="C70" s="99">
        <v>52</v>
      </c>
      <c r="D70" s="100">
        <f>D28</f>
        <v>130.63624073737307</v>
      </c>
      <c r="E70" s="103">
        <f>D29</f>
        <v>3.3391682097512487</v>
      </c>
      <c r="F70" s="104">
        <f>D30</f>
        <v>0.63960257836714851</v>
      </c>
      <c r="G70" s="100">
        <f>D31</f>
        <v>133.81946767216999</v>
      </c>
      <c r="H70" s="100">
        <f>D32</f>
        <v>2.4367104540281201</v>
      </c>
      <c r="I70" s="97">
        <f>D33</f>
        <v>0.73635804710840769</v>
      </c>
    </row>
    <row r="71" spans="1:9">
      <c r="A71" s="65">
        <v>26</v>
      </c>
      <c r="B71" s="98">
        <v>17</v>
      </c>
      <c r="C71" s="99">
        <v>54</v>
      </c>
      <c r="D71" s="100">
        <f>E28</f>
        <v>97.234559133311237</v>
      </c>
      <c r="E71" s="103">
        <f>E29</f>
        <v>4.4570916175883921</v>
      </c>
      <c r="F71" s="104">
        <f>E30</f>
        <v>0.12459849294636527</v>
      </c>
      <c r="G71" s="100">
        <f>E31</f>
        <v>93.844177835085333</v>
      </c>
      <c r="H71" s="100">
        <f>E32</f>
        <v>-3.3903812982259041</v>
      </c>
      <c r="I71" s="97">
        <f>E33</f>
        <v>8.2307868674101493E-3</v>
      </c>
    </row>
    <row r="72" spans="1:9">
      <c r="A72" s="65">
        <v>26</v>
      </c>
      <c r="B72" s="98">
        <v>17</v>
      </c>
      <c r="C72" s="101">
        <v>55</v>
      </c>
      <c r="D72" s="105">
        <f>F28</f>
        <v>98.205885392762625</v>
      </c>
      <c r="E72" s="106">
        <f>F29</f>
        <v>4.4570916175883921</v>
      </c>
      <c r="F72" s="107">
        <f>F30</f>
        <v>0.12459849294636527</v>
      </c>
      <c r="G72" s="100">
        <f>F31</f>
        <v>97.418992920320676</v>
      </c>
      <c r="H72" s="100">
        <f>F32</f>
        <v>-0.80126814120647949</v>
      </c>
      <c r="I72" s="97">
        <f>F33</f>
        <v>0.16260185693847518</v>
      </c>
    </row>
    <row r="73" spans="1:9">
      <c r="A73" s="65">
        <v>26</v>
      </c>
      <c r="B73" s="98">
        <v>17</v>
      </c>
      <c r="C73" s="101">
        <v>56</v>
      </c>
      <c r="D73" s="108">
        <f>G28</f>
        <v>34.378316880826652</v>
      </c>
      <c r="E73" s="100">
        <f>G29</f>
        <v>-6.6901877539158106E-2</v>
      </c>
      <c r="F73" s="97">
        <f>G30</f>
        <v>0.85652672592597145</v>
      </c>
      <c r="G73" s="100">
        <f>G31</f>
        <v>32.901264668555136</v>
      </c>
      <c r="H73" s="100">
        <f>G32</f>
        <v>-1.4770522122715164</v>
      </c>
      <c r="I73" s="97">
        <f>G33</f>
        <v>3.3603043477155826E-3</v>
      </c>
    </row>
    <row r="74" spans="1:9">
      <c r="A74" s="65">
        <v>26</v>
      </c>
      <c r="B74" s="98">
        <v>18</v>
      </c>
      <c r="C74" s="99">
        <v>51</v>
      </c>
      <c r="D74" s="100">
        <f>C34</f>
        <v>18.227177779727509</v>
      </c>
      <c r="E74" s="103">
        <f>C35</f>
        <v>0.53700457562448145</v>
      </c>
      <c r="F74" s="104">
        <f>C36</f>
        <v>0.11792593627036999</v>
      </c>
      <c r="G74" s="100">
        <f>C37</f>
        <v>19.247402213060845</v>
      </c>
      <c r="H74" s="100">
        <f>C38</f>
        <v>1.0202244333333361</v>
      </c>
      <c r="I74" s="97">
        <f>C39</f>
        <v>7.6733872934961369E-4</v>
      </c>
    </row>
    <row r="75" spans="1:9">
      <c r="A75" s="65">
        <v>26</v>
      </c>
      <c r="B75" s="98">
        <v>18</v>
      </c>
      <c r="C75" s="99">
        <v>52</v>
      </c>
      <c r="D75" s="100">
        <f>D34</f>
        <v>82.394907403418856</v>
      </c>
      <c r="E75" s="103">
        <f>D35</f>
        <v>-11.842015828486085</v>
      </c>
      <c r="F75" s="104">
        <f>D36</f>
        <v>7.7423503773189739E-2</v>
      </c>
      <c r="G75" s="100">
        <f>D37</f>
        <v>85.855472851896792</v>
      </c>
      <c r="H75" s="100">
        <f>D38</f>
        <v>4.1999749226423004</v>
      </c>
      <c r="I75" s="97">
        <f>D39</f>
        <v>0.58974231587430292</v>
      </c>
    </row>
    <row r="76" spans="1:9">
      <c r="A76" s="65">
        <v>26</v>
      </c>
      <c r="B76" s="98">
        <v>18</v>
      </c>
      <c r="C76" s="99">
        <v>54</v>
      </c>
      <c r="D76" s="100">
        <f>E34</f>
        <v>93.001605445167698</v>
      </c>
      <c r="E76" s="103">
        <f>E35</f>
        <v>4.4570916175883921</v>
      </c>
      <c r="F76" s="104">
        <f>E36</f>
        <v>0.12459849294636527</v>
      </c>
      <c r="G76" s="100">
        <f>E37</f>
        <v>90.971877813468211</v>
      </c>
      <c r="H76" s="100">
        <f>E38</f>
        <v>-2.0297276316994868</v>
      </c>
      <c r="I76" s="97">
        <f>E39</f>
        <v>4.642858547814167E-3</v>
      </c>
    </row>
    <row r="77" spans="1:9">
      <c r="A77" s="65">
        <v>26</v>
      </c>
      <c r="B77" s="98">
        <v>18</v>
      </c>
      <c r="C77" s="101">
        <v>55</v>
      </c>
      <c r="D77" s="105">
        <f>F34</f>
        <v>78.200736623430032</v>
      </c>
      <c r="E77" s="106">
        <f>F35</f>
        <v>4.4570916175883921</v>
      </c>
      <c r="F77" s="107">
        <f>F36</f>
        <v>0.12459849294636527</v>
      </c>
      <c r="G77" s="100">
        <f>F37</f>
        <v>76.030080688515355</v>
      </c>
      <c r="H77" s="100">
        <f>F38</f>
        <v>-2.7757487060093946</v>
      </c>
      <c r="I77" s="97">
        <f>F39</f>
        <v>0.55336385628891605</v>
      </c>
    </row>
    <row r="78" spans="1:9">
      <c r="A78" s="65">
        <v>26</v>
      </c>
      <c r="B78" s="98">
        <v>18</v>
      </c>
      <c r="C78" s="101">
        <v>56</v>
      </c>
      <c r="D78" s="108">
        <f>G34</f>
        <v>6.497909651834771</v>
      </c>
      <c r="E78" s="100">
        <f>G35</f>
        <v>0.14434101907419777</v>
      </c>
      <c r="F78" s="97">
        <f>G36</f>
        <v>0.56924726342210796</v>
      </c>
      <c r="G78" s="100">
        <f>G37</f>
        <v>6.1699821967075019</v>
      </c>
      <c r="H78" s="100">
        <f>G38</f>
        <v>-0.32792745512726906</v>
      </c>
      <c r="I78" s="97">
        <f>G39</f>
        <v>0.26537931379960988</v>
      </c>
    </row>
    <row r="79" spans="1:9">
      <c r="A79" s="65">
        <v>26</v>
      </c>
      <c r="B79" s="98">
        <v>19</v>
      </c>
      <c r="C79" s="99">
        <v>51</v>
      </c>
      <c r="D79" s="100">
        <f>C40</f>
        <v>20.121827357792366</v>
      </c>
      <c r="E79" s="103">
        <f>C41</f>
        <v>1.1321222679329015</v>
      </c>
      <c r="F79" s="104">
        <f>C42</f>
        <v>7.8960036237958229E-4</v>
      </c>
      <c r="G79" s="100">
        <f>C43</f>
        <v>20.752716357792373</v>
      </c>
      <c r="H79" s="100">
        <f>C44</f>
        <v>0.63088900000000692</v>
      </c>
      <c r="I79" s="97">
        <f>C45</f>
        <v>6.6652804777731708E-2</v>
      </c>
    </row>
    <row r="80" spans="1:9">
      <c r="A80" s="65">
        <v>26</v>
      </c>
      <c r="B80" s="98">
        <v>19</v>
      </c>
      <c r="C80" s="99">
        <v>52</v>
      </c>
      <c r="D80" s="100">
        <f>D40</f>
        <v>77.437092602352848</v>
      </c>
      <c r="E80" s="100">
        <f>D41</f>
        <v>-0.90982200854050965</v>
      </c>
      <c r="F80" s="104">
        <f>D42</f>
        <v>0.8878302912964926</v>
      </c>
      <c r="G80" s="100">
        <f>D43</f>
        <v>71.824535886772097</v>
      </c>
      <c r="H80" s="100">
        <f>D44</f>
        <v>-7.2478918396404479</v>
      </c>
      <c r="I80" s="97">
        <f>D45</f>
        <v>0.47276702376025515</v>
      </c>
    </row>
    <row r="81" spans="1:9">
      <c r="A81" s="65">
        <v>26</v>
      </c>
      <c r="B81" s="98">
        <v>19</v>
      </c>
      <c r="C81" s="99">
        <v>54</v>
      </c>
      <c r="D81" s="100">
        <f>E40</f>
        <v>93.661351369260501</v>
      </c>
      <c r="E81" s="103">
        <f>E41</f>
        <v>0.34772520405837748</v>
      </c>
      <c r="F81" s="104">
        <f>E42</f>
        <v>0.9060358002559189</v>
      </c>
      <c r="G81" s="100">
        <f>E43</f>
        <v>97.167231698078055</v>
      </c>
      <c r="H81" s="100">
        <f>E44</f>
        <v>3.505880328817554</v>
      </c>
      <c r="I81" s="97">
        <f>E45</f>
        <v>7.485727346926517E-2</v>
      </c>
    </row>
    <row r="82" spans="1:9">
      <c r="A82" s="65">
        <v>26</v>
      </c>
      <c r="B82" s="98">
        <v>19</v>
      </c>
      <c r="C82" s="101">
        <v>55</v>
      </c>
      <c r="D82" s="105">
        <f>F40</f>
        <v>75.82869024824619</v>
      </c>
      <c r="E82" s="106">
        <f>F41</f>
        <v>0.34772520405837748</v>
      </c>
      <c r="F82" s="107">
        <f>F42</f>
        <v>0.9060358002559189</v>
      </c>
      <c r="G82" s="100">
        <f>F43</f>
        <v>79.670217590755044</v>
      </c>
      <c r="H82" s="100">
        <f>F44</f>
        <v>5.0660605239686323</v>
      </c>
      <c r="I82" s="97">
        <f>F45</f>
        <v>0.41052939475563799</v>
      </c>
    </row>
    <row r="83" spans="1:9">
      <c r="A83" s="65">
        <v>26</v>
      </c>
      <c r="B83" s="98">
        <v>19</v>
      </c>
      <c r="C83" s="101">
        <v>56</v>
      </c>
      <c r="D83" s="108">
        <f>G40</f>
        <v>4.9886173663284605</v>
      </c>
      <c r="E83" s="106">
        <f>G41</f>
        <v>0.17793917674660509</v>
      </c>
      <c r="F83" s="109">
        <f>G42</f>
        <v>0.41685881584877127</v>
      </c>
      <c r="G83" s="100">
        <f>G43</f>
        <v>5.3717691190652186</v>
      </c>
      <c r="H83" s="100">
        <f>G44</f>
        <v>0.38315175273675806</v>
      </c>
      <c r="I83" s="97">
        <f>G45</f>
        <v>0.2250719252626161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2"/>
  <dimension ref="A1:O83"/>
  <sheetViews>
    <sheetView topLeftCell="A37"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20.727972348128226</v>
      </c>
      <c r="D4" s="31">
        <v>118.97004165900094</v>
      </c>
      <c r="E4" s="30">
        <v>84.256858605922986</v>
      </c>
      <c r="F4" s="30">
        <v>97.35485932137388</v>
      </c>
      <c r="G4" s="130">
        <v>5.744330545209797</v>
      </c>
    </row>
    <row r="5" spans="1:8" ht="18.75">
      <c r="A5" s="178"/>
      <c r="B5" s="21" t="s">
        <v>17</v>
      </c>
      <c r="C5" s="131">
        <v>0.97093506113934203</v>
      </c>
      <c r="D5" s="33">
        <v>3.2422830791200088</v>
      </c>
      <c r="E5" s="34">
        <v>0.26167681260055814</v>
      </c>
      <c r="F5" s="34">
        <v>0.26167681260055814</v>
      </c>
      <c r="G5" s="132">
        <v>-0.60620117476449098</v>
      </c>
    </row>
    <row r="6" spans="1:8">
      <c r="A6" s="178"/>
      <c r="B6" s="22" t="s">
        <v>18</v>
      </c>
      <c r="C6" s="133">
        <v>2.2662385408232636E-4</v>
      </c>
      <c r="D6" s="37">
        <v>0.75473447491700785</v>
      </c>
      <c r="E6" s="37">
        <v>0.77266214827240121</v>
      </c>
      <c r="F6" s="37">
        <v>0.77266214827240121</v>
      </c>
      <c r="G6" s="134">
        <v>1.0317282003925801E-3</v>
      </c>
    </row>
    <row r="7" spans="1:8" ht="18.75">
      <c r="A7" s="178"/>
      <c r="B7" s="23" t="s">
        <v>19</v>
      </c>
      <c r="C7" s="78">
        <v>21.847812298128233</v>
      </c>
      <c r="D7" s="38">
        <v>116.5376358488713</v>
      </c>
      <c r="E7" s="112">
        <v>78.094908857343086</v>
      </c>
      <c r="F7" s="10">
        <v>97.974627779735997</v>
      </c>
      <c r="G7" s="113">
        <v>5.3783809194822272</v>
      </c>
    </row>
    <row r="8" spans="1:8" ht="18.75">
      <c r="A8" s="178"/>
      <c r="B8" s="21" t="s">
        <v>20</v>
      </c>
      <c r="C8" s="135">
        <v>1.1198399500000065</v>
      </c>
      <c r="D8" s="40">
        <v>-2.0445532137422804</v>
      </c>
      <c r="E8" s="136">
        <v>-6.1619497485799002</v>
      </c>
      <c r="F8" s="10">
        <v>0.63660762563091133</v>
      </c>
      <c r="G8" s="137">
        <v>-0.36594962572756984</v>
      </c>
    </row>
    <row r="9" spans="1:8" ht="16.5" thickBot="1">
      <c r="A9" s="179"/>
      <c r="B9" s="25" t="s">
        <v>21</v>
      </c>
      <c r="C9" s="146">
        <v>1.7932161612157591E-3</v>
      </c>
      <c r="D9" s="139">
        <v>0.84725083431470916</v>
      </c>
      <c r="E9" s="147">
        <v>8.7689048820241162E-3</v>
      </c>
      <c r="F9" s="47">
        <v>0.55194405102774113</v>
      </c>
      <c r="G9" s="141">
        <v>5.5820720176698167E-2</v>
      </c>
    </row>
    <row r="10" spans="1:8" ht="18.75">
      <c r="A10" s="180" t="s">
        <v>2</v>
      </c>
      <c r="B10" s="20" t="s">
        <v>16</v>
      </c>
      <c r="C10" s="129">
        <v>11.771330195341799</v>
      </c>
      <c r="D10" s="31">
        <v>91.677791674585706</v>
      </c>
      <c r="E10" s="30">
        <v>97.423349309554624</v>
      </c>
      <c r="F10" s="30">
        <v>88.108215053381983</v>
      </c>
      <c r="G10" s="130">
        <v>6.005058823104628</v>
      </c>
    </row>
    <row r="11" spans="1:8" ht="18.75">
      <c r="A11" s="178"/>
      <c r="B11" s="21" t="s">
        <v>17</v>
      </c>
      <c r="C11" s="131">
        <v>0.17367890542740777</v>
      </c>
      <c r="D11" s="33">
        <v>19.673211915028254</v>
      </c>
      <c r="E11" s="34">
        <v>6.0042062314298459</v>
      </c>
      <c r="F11" s="34">
        <v>6.0042062314298459</v>
      </c>
      <c r="G11" s="132">
        <v>0.4332621780799078</v>
      </c>
    </row>
    <row r="12" spans="1:8">
      <c r="A12" s="178"/>
      <c r="B12" s="22" t="s">
        <v>18</v>
      </c>
      <c r="C12" s="133">
        <v>0.45308564896869519</v>
      </c>
      <c r="D12" s="37">
        <v>7.8911629784343285E-3</v>
      </c>
      <c r="E12" s="37">
        <v>9.5305270527501346E-3</v>
      </c>
      <c r="F12" s="37">
        <v>9.5305270527501346E-3</v>
      </c>
      <c r="G12" s="134">
        <v>5.9393675570616191E-3</v>
      </c>
    </row>
    <row r="13" spans="1:8" ht="18.75">
      <c r="A13" s="178"/>
      <c r="B13" s="23" t="s">
        <v>19</v>
      </c>
      <c r="C13" s="78">
        <v>13.4880911953418</v>
      </c>
      <c r="D13" s="38">
        <v>84.830212882832001</v>
      </c>
      <c r="E13" s="148">
        <v>100.13986696160563</v>
      </c>
      <c r="F13" s="10">
        <v>86.353262119221057</v>
      </c>
      <c r="G13" s="113">
        <v>6.041132010909716</v>
      </c>
    </row>
    <row r="14" spans="1:8" ht="18.75">
      <c r="A14" s="178"/>
      <c r="B14" s="21" t="s">
        <v>20</v>
      </c>
      <c r="C14" s="135">
        <v>1.7167610000000018</v>
      </c>
      <c r="D14" s="10">
        <v>-7.4691794672143503</v>
      </c>
      <c r="E14" s="11">
        <v>2.7165176520510101</v>
      </c>
      <c r="F14" s="10">
        <v>-1.9918153297029777</v>
      </c>
      <c r="G14" s="137">
        <v>3.6073187805087947E-2</v>
      </c>
    </row>
    <row r="15" spans="1:8" ht="16.5" thickBot="1">
      <c r="A15" s="181"/>
      <c r="B15" s="26" t="s">
        <v>21</v>
      </c>
      <c r="C15" s="149">
        <v>3.8009267936301095E-6</v>
      </c>
      <c r="D15" s="48">
        <v>0.41467058866681883</v>
      </c>
      <c r="E15" s="121">
        <v>1.586001400186136E-2</v>
      </c>
      <c r="F15" s="43">
        <v>0.4183880181155395</v>
      </c>
      <c r="G15" s="143">
        <v>0.84419593261720316</v>
      </c>
    </row>
    <row r="16" spans="1:8" ht="18.75">
      <c r="A16" s="177" t="s">
        <v>3</v>
      </c>
      <c r="B16" s="24" t="s">
        <v>16</v>
      </c>
      <c r="C16" s="144">
        <v>2.1780138883025688</v>
      </c>
      <c r="D16" s="45">
        <v>39.541833342174073</v>
      </c>
      <c r="E16" s="44">
        <v>86.519930422874083</v>
      </c>
      <c r="F16" s="44">
        <v>70.883577962570797</v>
      </c>
      <c r="G16" s="145">
        <v>3.0723471381026592</v>
      </c>
    </row>
    <row r="17" spans="1:7" ht="18.75">
      <c r="A17" s="178"/>
      <c r="B17" s="21" t="s">
        <v>17</v>
      </c>
      <c r="C17" s="131">
        <v>1.3470161281946682</v>
      </c>
      <c r="D17" s="33">
        <v>3.3880589684552334</v>
      </c>
      <c r="E17" s="34">
        <v>3.6518082181797222</v>
      </c>
      <c r="F17" s="34">
        <v>3.6518082181797222</v>
      </c>
      <c r="G17" s="132">
        <v>0.28381223578492676</v>
      </c>
    </row>
    <row r="18" spans="1:7">
      <c r="A18" s="178"/>
      <c r="B18" s="22" t="s">
        <v>18</v>
      </c>
      <c r="C18" s="133">
        <v>2.2369647507259425E-2</v>
      </c>
      <c r="D18" s="37">
        <v>0.45725423683185784</v>
      </c>
      <c r="E18" s="37">
        <v>0.25804636397480996</v>
      </c>
      <c r="F18" s="37">
        <v>0.25804636397480996</v>
      </c>
      <c r="G18" s="134">
        <v>0.11375408243748608</v>
      </c>
    </row>
    <row r="19" spans="1:7" ht="18.75">
      <c r="A19" s="178"/>
      <c r="B19" s="23" t="s">
        <v>19</v>
      </c>
      <c r="C19" s="78">
        <v>3.2029832549692339</v>
      </c>
      <c r="D19" s="38">
        <v>37.830914414188427</v>
      </c>
      <c r="E19" s="112">
        <v>88.312517148636942</v>
      </c>
      <c r="F19" s="10">
        <v>69.05032847070629</v>
      </c>
      <c r="G19" s="113">
        <v>3.0528828104478678</v>
      </c>
    </row>
    <row r="20" spans="1:7" ht="18.75">
      <c r="A20" s="178"/>
      <c r="B20" s="21" t="s">
        <v>20</v>
      </c>
      <c r="C20" s="135">
        <v>1.024969366666665</v>
      </c>
      <c r="D20" s="10">
        <v>-4.3268578701960001</v>
      </c>
      <c r="E20" s="11">
        <v>1.7925867257628596</v>
      </c>
      <c r="F20" s="10">
        <v>-2.5862823866376052</v>
      </c>
      <c r="G20" s="137">
        <v>-1.9464327654791447E-2</v>
      </c>
    </row>
    <row r="21" spans="1:7" ht="16.5" thickBot="1">
      <c r="A21" s="179"/>
      <c r="B21" s="25" t="s">
        <v>21</v>
      </c>
      <c r="C21" s="146">
        <v>3.2183000748201539E-2</v>
      </c>
      <c r="D21" s="46">
        <v>0.72289048249261922</v>
      </c>
      <c r="E21" s="89">
        <v>0.23453903703485013</v>
      </c>
      <c r="F21" s="47">
        <v>0.51480055625767251</v>
      </c>
      <c r="G21" s="141">
        <v>0.908907850451387</v>
      </c>
    </row>
    <row r="22" spans="1:7" ht="18.75">
      <c r="A22" s="180" t="s">
        <v>4</v>
      </c>
      <c r="B22" s="20" t="s">
        <v>16</v>
      </c>
      <c r="C22" s="129">
        <v>-3.0147940775738831</v>
      </c>
      <c r="D22" s="31">
        <v>98.898624996094355</v>
      </c>
      <c r="E22" s="30">
        <v>90.509840424143889</v>
      </c>
      <c r="F22" s="30">
        <v>94.366448994780967</v>
      </c>
      <c r="G22" s="130">
        <v>24.728085335350862</v>
      </c>
    </row>
    <row r="23" spans="1:7" ht="18.75">
      <c r="A23" s="178"/>
      <c r="B23" s="21" t="s">
        <v>17</v>
      </c>
      <c r="C23" s="131">
        <v>0.40300565798014787</v>
      </c>
      <c r="D23" s="33">
        <v>4.5656423762553606</v>
      </c>
      <c r="E23" s="34">
        <v>-0.71144378932160313</v>
      </c>
      <c r="F23" s="34">
        <v>-0.71144378932160313</v>
      </c>
      <c r="G23" s="132">
        <v>0.43871713068577234</v>
      </c>
    </row>
    <row r="24" spans="1:7">
      <c r="A24" s="178"/>
      <c r="B24" s="22" t="s">
        <v>18</v>
      </c>
      <c r="C24" s="133">
        <v>0.40255790079363563</v>
      </c>
      <c r="D24" s="37">
        <v>0.57275416590430228</v>
      </c>
      <c r="E24" s="37">
        <v>0.48322013562549382</v>
      </c>
      <c r="F24" s="37">
        <v>0.48322013562549382</v>
      </c>
      <c r="G24" s="134">
        <v>0.56557586006754301</v>
      </c>
    </row>
    <row r="25" spans="1:7" ht="18.75">
      <c r="A25" s="178"/>
      <c r="B25" s="23" t="s">
        <v>19</v>
      </c>
      <c r="C25" s="78">
        <v>-1.5679935220183274</v>
      </c>
      <c r="D25" s="38">
        <v>112.6543218494689</v>
      </c>
      <c r="E25" s="112">
        <v>89.557165750205058</v>
      </c>
      <c r="F25" s="10">
        <v>94.315187193508706</v>
      </c>
      <c r="G25" s="113">
        <v>24.432699763110971</v>
      </c>
    </row>
    <row r="26" spans="1:7" ht="18.75">
      <c r="A26" s="178"/>
      <c r="B26" s="21" t="s">
        <v>20</v>
      </c>
      <c r="C26" s="135">
        <v>1.4468005555555556</v>
      </c>
      <c r="D26" s="10">
        <v>13.908885845397521</v>
      </c>
      <c r="E26" s="11">
        <v>-0.9526746739388301</v>
      </c>
      <c r="F26" s="10">
        <v>-5.432206236253638E-2</v>
      </c>
      <c r="G26" s="115">
        <v>-0.29538557223989059</v>
      </c>
    </row>
    <row r="27" spans="1:7" ht="16.5" thickBot="1">
      <c r="A27" s="181"/>
      <c r="B27" s="26" t="s">
        <v>21</v>
      </c>
      <c r="C27" s="149">
        <v>1.9136842068744266E-3</v>
      </c>
      <c r="D27" s="48">
        <v>6.2551620794773846E-2</v>
      </c>
      <c r="E27" s="121">
        <v>0.5880018681684871</v>
      </c>
      <c r="F27" s="43">
        <v>0.91957867848517316</v>
      </c>
      <c r="G27" s="122">
        <v>0.54824476498802965</v>
      </c>
    </row>
    <row r="28" spans="1:7" ht="18.75">
      <c r="A28" s="177" t="s">
        <v>5</v>
      </c>
      <c r="B28" s="24" t="s">
        <v>16</v>
      </c>
      <c r="C28" s="144">
        <v>8.7891596479105054</v>
      </c>
      <c r="D28" s="45">
        <v>115.68975595150209</v>
      </c>
      <c r="E28" s="44">
        <v>96.17295162526257</v>
      </c>
      <c r="F28" s="44">
        <v>96.811916025141898</v>
      </c>
      <c r="G28" s="145">
        <v>33.536310295257984</v>
      </c>
    </row>
    <row r="29" spans="1:7" ht="18.75">
      <c r="A29" s="178"/>
      <c r="B29" s="21" t="s">
        <v>17</v>
      </c>
      <c r="C29" s="131">
        <v>0.5355346949482398</v>
      </c>
      <c r="D29" s="33">
        <v>3.381294692446815</v>
      </c>
      <c r="E29" s="34">
        <v>6.3693338058296356E-2</v>
      </c>
      <c r="F29" s="34">
        <v>6.3693338058296356E-2</v>
      </c>
      <c r="G29" s="132">
        <v>-9.4990861682625549E-2</v>
      </c>
    </row>
    <row r="30" spans="1:7">
      <c r="A30" s="178"/>
      <c r="B30" s="22" t="s">
        <v>18</v>
      </c>
      <c r="C30" s="133">
        <v>5.2300262641824226E-2</v>
      </c>
      <c r="D30" s="37">
        <v>0.66508953539626448</v>
      </c>
      <c r="E30" s="49">
        <v>0.94418770050640999</v>
      </c>
      <c r="F30" s="49">
        <v>0.94418770050640999</v>
      </c>
      <c r="G30" s="134">
        <v>0.85787549343427327</v>
      </c>
    </row>
    <row r="31" spans="1:7" ht="18.75">
      <c r="A31" s="178"/>
      <c r="B31" s="23" t="s">
        <v>19</v>
      </c>
      <c r="C31" s="78">
        <v>9.6358858923549491</v>
      </c>
      <c r="D31" s="38">
        <v>105.98956666188982</v>
      </c>
      <c r="E31" s="112">
        <v>90.582850567604979</v>
      </c>
      <c r="F31" s="10">
        <v>96.505882293206838</v>
      </c>
      <c r="G31" s="113">
        <v>31.445882644735185</v>
      </c>
    </row>
    <row r="32" spans="1:7" ht="18.75">
      <c r="A32" s="178"/>
      <c r="B32" s="21" t="s">
        <v>20</v>
      </c>
      <c r="C32" s="135">
        <v>0.84672624444444367</v>
      </c>
      <c r="D32" s="10">
        <v>-8.3846570595919001</v>
      </c>
      <c r="E32" s="11">
        <v>-5.5901010576575914</v>
      </c>
      <c r="F32" s="10">
        <v>-0.31611163635640677</v>
      </c>
      <c r="G32" s="115">
        <v>-2.0904276505227983</v>
      </c>
    </row>
    <row r="33" spans="1:15" ht="16.5" thickBot="1">
      <c r="A33" s="179"/>
      <c r="B33" s="25" t="s">
        <v>21</v>
      </c>
      <c r="C33" s="146">
        <v>3.8009548694343138E-4</v>
      </c>
      <c r="D33" s="46">
        <v>0.16081190690637892</v>
      </c>
      <c r="E33" s="117">
        <v>4.8763820139226081E-4</v>
      </c>
      <c r="F33" s="47">
        <v>0.28373387984030318</v>
      </c>
      <c r="G33" s="118">
        <v>3.7129721926962528E-4</v>
      </c>
    </row>
    <row r="34" spans="1:15" ht="18.75">
      <c r="A34" s="177" t="s">
        <v>6</v>
      </c>
      <c r="B34" s="24" t="s">
        <v>16</v>
      </c>
      <c r="C34" s="129">
        <v>18.932013890080977</v>
      </c>
      <c r="D34" s="31">
        <v>77.939624995879512</v>
      </c>
      <c r="E34" s="30">
        <v>89.217564725539248</v>
      </c>
      <c r="F34" s="30">
        <v>80.512672898090145</v>
      </c>
      <c r="G34" s="130">
        <v>6.4253837233545079</v>
      </c>
    </row>
    <row r="35" spans="1:15" ht="18.75">
      <c r="A35" s="178"/>
      <c r="B35" s="21" t="s">
        <v>17</v>
      </c>
      <c r="C35" s="131">
        <v>0.59610215275650713</v>
      </c>
      <c r="D35" s="33">
        <v>-8.0216156933664955</v>
      </c>
      <c r="E35" s="34">
        <v>3.4362657131729075</v>
      </c>
      <c r="F35" s="34">
        <v>3.4362657131729075</v>
      </c>
      <c r="G35" s="132">
        <v>-3.3933600951898499E-2</v>
      </c>
    </row>
    <row r="36" spans="1:15">
      <c r="A36" s="178"/>
      <c r="B36" s="22" t="s">
        <v>18</v>
      </c>
      <c r="C36" s="133">
        <v>7.8240605648941974E-2</v>
      </c>
      <c r="D36" s="37">
        <v>0.16470587655267055</v>
      </c>
      <c r="E36" s="37">
        <v>0.16759570027602844</v>
      </c>
      <c r="F36" s="37">
        <v>0.16759570027602844</v>
      </c>
      <c r="G36" s="134">
        <v>0.88851414562396536</v>
      </c>
    </row>
    <row r="37" spans="1:15" ht="18.75">
      <c r="A37" s="178"/>
      <c r="B37" s="23" t="s">
        <v>19</v>
      </c>
      <c r="C37" s="78">
        <v>20.088807823414314</v>
      </c>
      <c r="D37" s="38">
        <v>74.641837807783347</v>
      </c>
      <c r="E37" s="112">
        <v>84.223548270846052</v>
      </c>
      <c r="F37" s="10">
        <v>81.687014686381971</v>
      </c>
      <c r="G37" s="113">
        <v>6.1379185415802571</v>
      </c>
    </row>
    <row r="38" spans="1:15" ht="18.75">
      <c r="A38" s="178"/>
      <c r="B38" s="21" t="s">
        <v>20</v>
      </c>
      <c r="C38" s="135">
        <v>1.1567939333333364</v>
      </c>
      <c r="D38" s="10">
        <v>-4.231207409928528</v>
      </c>
      <c r="E38" s="11">
        <v>-4.9940164546931953</v>
      </c>
      <c r="F38" s="10">
        <v>1.4585800545688792</v>
      </c>
      <c r="G38" s="115">
        <v>-0.28746518177425084</v>
      </c>
    </row>
    <row r="39" spans="1:15" ht="16.5" thickBot="1">
      <c r="A39" s="179"/>
      <c r="B39" s="25" t="s">
        <v>21</v>
      </c>
      <c r="C39" s="149">
        <v>3.2812415456994696E-4</v>
      </c>
      <c r="D39" s="48">
        <v>0.65838345188660763</v>
      </c>
      <c r="E39" s="121">
        <v>5.7872823316660769E-4</v>
      </c>
      <c r="F39" s="43">
        <v>0.68978971535969236</v>
      </c>
      <c r="G39" s="122">
        <v>0.26047760018099286</v>
      </c>
    </row>
    <row r="40" spans="1:15" ht="18.75">
      <c r="A40" s="180" t="s">
        <v>7</v>
      </c>
      <c r="B40" s="20" t="s">
        <v>16</v>
      </c>
      <c r="C40" s="144">
        <v>21.068212361079397</v>
      </c>
      <c r="D40" s="45">
        <v>66.824874995231312</v>
      </c>
      <c r="E40" s="44">
        <v>95.766687105318255</v>
      </c>
      <c r="F40" s="44">
        <v>79.70308368976643</v>
      </c>
      <c r="G40" s="145">
        <v>5.3550534591408123</v>
      </c>
    </row>
    <row r="41" spans="1:15" ht="18.75">
      <c r="A41" s="178"/>
      <c r="B41" s="21" t="s">
        <v>17</v>
      </c>
      <c r="C41" s="131">
        <v>1.0431743089877927</v>
      </c>
      <c r="D41" s="33">
        <v>4.2152752980041717</v>
      </c>
      <c r="E41" s="34">
        <v>-2.0461892663901295</v>
      </c>
      <c r="F41" s="34">
        <v>-2.0461892663901295</v>
      </c>
      <c r="G41" s="132">
        <v>-9.9876641551768397E-2</v>
      </c>
    </row>
    <row r="42" spans="1:15">
      <c r="A42" s="178"/>
      <c r="B42" s="22" t="s">
        <v>18</v>
      </c>
      <c r="C42" s="133">
        <v>2.4577242253237806E-3</v>
      </c>
      <c r="D42" s="37">
        <v>0.61164703956046718</v>
      </c>
      <c r="E42" s="49">
        <v>0.56351163753068123</v>
      </c>
      <c r="F42" s="49">
        <v>0.56351163753068123</v>
      </c>
      <c r="G42" s="134">
        <v>0.69458459355654478</v>
      </c>
    </row>
    <row r="43" spans="1:15" ht="18.75">
      <c r="A43" s="178"/>
      <c r="B43" s="23" t="s">
        <v>19</v>
      </c>
      <c r="C43" s="78">
        <v>21.997480727746062</v>
      </c>
      <c r="D43" s="38">
        <v>63.149323933828214</v>
      </c>
      <c r="E43" s="112">
        <v>98.730893662153434</v>
      </c>
      <c r="F43" s="10">
        <v>81.411305485917225</v>
      </c>
      <c r="G43" s="113">
        <v>5.6484808680382503</v>
      </c>
    </row>
    <row r="44" spans="1:15" ht="18.75">
      <c r="A44" s="178"/>
      <c r="B44" s="21" t="s">
        <v>20</v>
      </c>
      <c r="C44" s="135">
        <v>0.92926836666666546</v>
      </c>
      <c r="D44" s="10">
        <v>-5.5002737553424357</v>
      </c>
      <c r="E44" s="11">
        <v>2.9642065568351796</v>
      </c>
      <c r="F44" s="10">
        <v>2.1432317509819541</v>
      </c>
      <c r="G44" s="137">
        <v>0.29342740889743801</v>
      </c>
    </row>
    <row r="45" spans="1:15" ht="16.5" thickBot="1">
      <c r="A45" s="179"/>
      <c r="B45" s="25" t="s">
        <v>21</v>
      </c>
      <c r="C45" s="149">
        <v>1.3707824412803367E-2</v>
      </c>
      <c r="D45" s="48">
        <v>0.62078031057862393</v>
      </c>
      <c r="E45" s="121">
        <v>4.1004510639566998E-2</v>
      </c>
      <c r="F45" s="43">
        <v>0.51264010036475693</v>
      </c>
      <c r="G45" s="143">
        <v>0.18243393363867966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20.727972348128226</v>
      </c>
      <c r="E49" s="100">
        <f>C5</f>
        <v>0.97093506113934203</v>
      </c>
      <c r="F49" s="97">
        <f>C6</f>
        <v>2.2662385408232636E-4</v>
      </c>
      <c r="G49" s="100">
        <f>C7</f>
        <v>21.847812298128233</v>
      </c>
      <c r="H49" s="100">
        <f>C8</f>
        <v>1.1198399500000065</v>
      </c>
      <c r="I49" s="97">
        <f>C9</f>
        <v>1.7932161612157591E-3</v>
      </c>
    </row>
    <row r="50" spans="1:9">
      <c r="A50" s="65">
        <v>26</v>
      </c>
      <c r="B50" s="98">
        <v>13</v>
      </c>
      <c r="C50" s="99">
        <v>52</v>
      </c>
      <c r="D50" s="100">
        <f>D4</f>
        <v>118.97004165900094</v>
      </c>
      <c r="E50" s="100">
        <f>D5</f>
        <v>3.2422830791200088</v>
      </c>
      <c r="F50" s="97">
        <f>D6</f>
        <v>0.75473447491700785</v>
      </c>
      <c r="G50" s="100">
        <f>D7</f>
        <v>116.5376358488713</v>
      </c>
      <c r="H50" s="100">
        <f>D8</f>
        <v>-2.0445532137422804</v>
      </c>
      <c r="I50" s="97">
        <f>D9</f>
        <v>0.84725083431470916</v>
      </c>
    </row>
    <row r="51" spans="1:9">
      <c r="A51" s="65">
        <v>26</v>
      </c>
      <c r="B51" s="98">
        <v>13</v>
      </c>
      <c r="C51" s="99">
        <v>54</v>
      </c>
      <c r="D51" s="100">
        <f>E4</f>
        <v>84.256858605922986</v>
      </c>
      <c r="E51" s="100">
        <f>E5</f>
        <v>0.26167681260055814</v>
      </c>
      <c r="F51" s="97">
        <f>E6</f>
        <v>0.77266214827240121</v>
      </c>
      <c r="G51" s="100">
        <f>E7</f>
        <v>78.094908857343086</v>
      </c>
      <c r="H51" s="100">
        <f>E8</f>
        <v>-6.1619497485799002</v>
      </c>
      <c r="I51" s="97">
        <f>E9</f>
        <v>8.7689048820241162E-3</v>
      </c>
    </row>
    <row r="52" spans="1:9">
      <c r="A52" s="65">
        <v>26</v>
      </c>
      <c r="B52" s="98">
        <v>13</v>
      </c>
      <c r="C52" s="101">
        <v>55</v>
      </c>
      <c r="D52" s="100">
        <f>F4</f>
        <v>97.35485932137388</v>
      </c>
      <c r="E52" s="100">
        <f>F5</f>
        <v>0.26167681260055814</v>
      </c>
      <c r="F52" s="97">
        <f>F6</f>
        <v>0.77266214827240121</v>
      </c>
      <c r="G52" s="100">
        <f>F7</f>
        <v>97.974627779735997</v>
      </c>
      <c r="H52" s="100">
        <f>F8</f>
        <v>0.63660762563091133</v>
      </c>
      <c r="I52" s="97">
        <f>F9</f>
        <v>0.55194405102774113</v>
      </c>
    </row>
    <row r="53" spans="1:9">
      <c r="A53" s="65">
        <v>26</v>
      </c>
      <c r="B53" s="98">
        <v>13</v>
      </c>
      <c r="C53" s="101">
        <v>56</v>
      </c>
      <c r="D53" s="100">
        <f>G4</f>
        <v>5.744330545209797</v>
      </c>
      <c r="E53" s="100">
        <f>G5</f>
        <v>-0.60620117476449098</v>
      </c>
      <c r="F53" s="97">
        <f>G6</f>
        <v>1.0317282003925801E-3</v>
      </c>
      <c r="G53" s="100">
        <f>G7</f>
        <v>5.3783809194822272</v>
      </c>
      <c r="H53" s="100">
        <f>G8</f>
        <v>-0.36594962572756984</v>
      </c>
      <c r="I53" s="97">
        <f>G9</f>
        <v>5.5820720176698167E-2</v>
      </c>
    </row>
    <row r="54" spans="1:9">
      <c r="A54" s="65">
        <v>26</v>
      </c>
      <c r="B54" s="98">
        <v>14</v>
      </c>
      <c r="C54" s="99">
        <v>51</v>
      </c>
      <c r="D54" s="100">
        <f>C10</f>
        <v>11.771330195341799</v>
      </c>
      <c r="E54" s="100">
        <f>C11</f>
        <v>0.17367890542740777</v>
      </c>
      <c r="F54" s="97">
        <f>C12</f>
        <v>0.45308564896869519</v>
      </c>
      <c r="G54" s="100">
        <f>C13</f>
        <v>13.4880911953418</v>
      </c>
      <c r="H54" s="100">
        <f>C14</f>
        <v>1.7167610000000018</v>
      </c>
      <c r="I54" s="97">
        <f>C15</f>
        <v>3.8009267936301095E-6</v>
      </c>
    </row>
    <row r="55" spans="1:9">
      <c r="A55" s="65">
        <v>26</v>
      </c>
      <c r="B55" s="98">
        <v>14</v>
      </c>
      <c r="C55" s="99">
        <v>52</v>
      </c>
      <c r="D55" s="100">
        <f>D10</f>
        <v>91.677791674585706</v>
      </c>
      <c r="E55" s="100">
        <f>D11</f>
        <v>19.673211915028254</v>
      </c>
      <c r="F55" s="97">
        <f>D12</f>
        <v>7.8911629784343285E-3</v>
      </c>
      <c r="G55" s="100">
        <f>D13</f>
        <v>84.830212882832001</v>
      </c>
      <c r="H55" s="100">
        <f>D14</f>
        <v>-7.4691794672143503</v>
      </c>
      <c r="I55" s="97">
        <f>D15</f>
        <v>0.41467058866681883</v>
      </c>
    </row>
    <row r="56" spans="1:9">
      <c r="A56" s="65">
        <v>26</v>
      </c>
      <c r="B56" s="98">
        <v>14</v>
      </c>
      <c r="C56" s="99">
        <v>54</v>
      </c>
      <c r="D56" s="100">
        <f>E10</f>
        <v>97.423349309554624</v>
      </c>
      <c r="E56" s="100">
        <f>E11</f>
        <v>6.0042062314298459</v>
      </c>
      <c r="F56" s="97">
        <f>E12</f>
        <v>9.5305270527501346E-3</v>
      </c>
      <c r="G56" s="100">
        <f>E13</f>
        <v>100.13986696160563</v>
      </c>
      <c r="H56" s="100">
        <f>E14</f>
        <v>2.7165176520510101</v>
      </c>
      <c r="I56" s="97">
        <f>E15</f>
        <v>1.586001400186136E-2</v>
      </c>
    </row>
    <row r="57" spans="1:9">
      <c r="A57" s="65">
        <v>26</v>
      </c>
      <c r="B57" s="98">
        <v>14</v>
      </c>
      <c r="C57" s="101">
        <v>55</v>
      </c>
      <c r="D57" s="100">
        <f>F10</f>
        <v>88.108215053381983</v>
      </c>
      <c r="E57" s="100">
        <f>F11</f>
        <v>6.0042062314298459</v>
      </c>
      <c r="F57" s="97">
        <f>F12</f>
        <v>9.5305270527501346E-3</v>
      </c>
      <c r="G57" s="100">
        <f>F13</f>
        <v>86.353262119221057</v>
      </c>
      <c r="H57" s="100">
        <f>F14</f>
        <v>-1.9918153297029777</v>
      </c>
      <c r="I57" s="97">
        <f>F15</f>
        <v>0.4183880181155395</v>
      </c>
    </row>
    <row r="58" spans="1:9">
      <c r="A58" s="65">
        <v>26</v>
      </c>
      <c r="B58" s="98">
        <v>14</v>
      </c>
      <c r="C58" s="101">
        <v>56</v>
      </c>
      <c r="D58" s="100">
        <f>G10</f>
        <v>6.005058823104628</v>
      </c>
      <c r="E58" s="100">
        <f>G11</f>
        <v>0.4332621780799078</v>
      </c>
      <c r="F58" s="97">
        <f>G12</f>
        <v>5.9393675570616191E-3</v>
      </c>
      <c r="G58" s="100">
        <f>G13</f>
        <v>6.041132010909716</v>
      </c>
      <c r="H58" s="100">
        <f>G14</f>
        <v>3.6073187805087947E-2</v>
      </c>
      <c r="I58" s="97">
        <f>G15</f>
        <v>0.84419593261720316</v>
      </c>
    </row>
    <row r="59" spans="1:9">
      <c r="A59" s="65">
        <v>26</v>
      </c>
      <c r="B59" s="98">
        <v>15</v>
      </c>
      <c r="C59" s="99">
        <v>51</v>
      </c>
      <c r="D59" s="100">
        <f>C16</f>
        <v>2.1780138883025688</v>
      </c>
      <c r="E59" s="100">
        <f>C17</f>
        <v>1.3470161281946682</v>
      </c>
      <c r="F59" s="97">
        <f>C18</f>
        <v>2.2369647507259425E-2</v>
      </c>
      <c r="G59" s="100">
        <f>C19</f>
        <v>3.2029832549692339</v>
      </c>
      <c r="H59" s="100">
        <f>C20</f>
        <v>1.024969366666665</v>
      </c>
      <c r="I59" s="97">
        <f>C21</f>
        <v>3.2183000748201539E-2</v>
      </c>
    </row>
    <row r="60" spans="1:9">
      <c r="A60" s="65">
        <v>26</v>
      </c>
      <c r="B60" s="98">
        <v>15</v>
      </c>
      <c r="C60" s="99">
        <v>52</v>
      </c>
      <c r="D60" s="100">
        <f>D16</f>
        <v>39.541833342174073</v>
      </c>
      <c r="E60" s="100">
        <f>D17</f>
        <v>3.3880589684552334</v>
      </c>
      <c r="F60" s="97">
        <f>D18</f>
        <v>0.45725423683185784</v>
      </c>
      <c r="G60" s="100">
        <f>D19</f>
        <v>37.830914414188427</v>
      </c>
      <c r="H60" s="100">
        <f>D20</f>
        <v>-4.3268578701960001</v>
      </c>
      <c r="I60" s="97">
        <f>D21</f>
        <v>0.72289048249261922</v>
      </c>
    </row>
    <row r="61" spans="1:9">
      <c r="A61" s="65">
        <v>26</v>
      </c>
      <c r="B61" s="98">
        <v>15</v>
      </c>
      <c r="C61" s="99">
        <v>54</v>
      </c>
      <c r="D61" s="100">
        <f>E16</f>
        <v>86.519930422874083</v>
      </c>
      <c r="E61" s="100">
        <f>E17</f>
        <v>3.6518082181797222</v>
      </c>
      <c r="F61" s="97">
        <f>E18</f>
        <v>0.25804636397480996</v>
      </c>
      <c r="G61" s="100">
        <f>E19</f>
        <v>88.312517148636942</v>
      </c>
      <c r="H61" s="100">
        <f>E20</f>
        <v>1.7925867257628596</v>
      </c>
      <c r="I61" s="97">
        <f>E21</f>
        <v>0.23453903703485013</v>
      </c>
    </row>
    <row r="62" spans="1:9">
      <c r="A62" s="65">
        <v>26</v>
      </c>
      <c r="B62" s="98">
        <v>15</v>
      </c>
      <c r="C62" s="101">
        <v>55</v>
      </c>
      <c r="D62" s="102">
        <f>F16</f>
        <v>70.883577962570797</v>
      </c>
      <c r="E62" s="100">
        <f>F17</f>
        <v>3.6518082181797222</v>
      </c>
      <c r="F62" s="97">
        <f>F18</f>
        <v>0.25804636397480996</v>
      </c>
      <c r="G62" s="100">
        <f>F19</f>
        <v>69.05032847070629</v>
      </c>
      <c r="H62" s="100">
        <f>F20</f>
        <v>-2.5862823866376052</v>
      </c>
      <c r="I62" s="97">
        <f>F21</f>
        <v>0.51480055625767251</v>
      </c>
    </row>
    <row r="63" spans="1:9">
      <c r="A63" s="65">
        <v>26</v>
      </c>
      <c r="B63" s="98">
        <v>15</v>
      </c>
      <c r="C63" s="101">
        <v>56</v>
      </c>
      <c r="D63" s="102">
        <f>G16</f>
        <v>3.0723471381026592</v>
      </c>
      <c r="E63" s="100">
        <f>G17</f>
        <v>0.28381223578492676</v>
      </c>
      <c r="F63" s="97">
        <f>G18</f>
        <v>0.11375408243748608</v>
      </c>
      <c r="G63" s="100">
        <f>G19</f>
        <v>3.0528828104478678</v>
      </c>
      <c r="H63" s="100">
        <f>G20</f>
        <v>-1.9464327654791447E-2</v>
      </c>
      <c r="I63" s="97">
        <f>G21</f>
        <v>0.908907850451387</v>
      </c>
    </row>
    <row r="64" spans="1:9">
      <c r="A64" s="65">
        <v>26</v>
      </c>
      <c r="B64" s="98">
        <v>16</v>
      </c>
      <c r="C64" s="99">
        <v>51</v>
      </c>
      <c r="D64" s="100">
        <f>C22</f>
        <v>-3.0147940775738831</v>
      </c>
      <c r="E64" s="103">
        <f>C23</f>
        <v>0.40300565798014787</v>
      </c>
      <c r="F64" s="104">
        <f>C24</f>
        <v>0.40255790079363563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98.898624996094355</v>
      </c>
      <c r="E65" s="103">
        <f>D23</f>
        <v>4.5656423762553606</v>
      </c>
      <c r="F65" s="104">
        <f>D24</f>
        <v>0.57275416590430228</v>
      </c>
      <c r="G65" s="100">
        <f>D25</f>
        <v>112.6543218494689</v>
      </c>
      <c r="H65" s="100">
        <f>D26</f>
        <v>13.908885845397521</v>
      </c>
      <c r="I65" s="97">
        <f>D27</f>
        <v>6.2551620794773846E-2</v>
      </c>
    </row>
    <row r="66" spans="1:9">
      <c r="A66" s="65">
        <v>26</v>
      </c>
      <c r="B66" s="98">
        <v>16</v>
      </c>
      <c r="C66" s="99">
        <v>54</v>
      </c>
      <c r="D66" s="100">
        <f>E22</f>
        <v>90.509840424143889</v>
      </c>
      <c r="E66" s="103">
        <f>E23</f>
        <v>-0.71144378932160313</v>
      </c>
      <c r="F66" s="104">
        <f>E24</f>
        <v>0.48322013562549382</v>
      </c>
      <c r="G66" s="100">
        <f>E25</f>
        <v>89.557165750205058</v>
      </c>
      <c r="H66" s="100">
        <f>E26</f>
        <v>-0.9526746739388301</v>
      </c>
      <c r="I66" s="97">
        <f>E27</f>
        <v>0.5880018681684871</v>
      </c>
    </row>
    <row r="67" spans="1:9">
      <c r="A67" s="65">
        <v>26</v>
      </c>
      <c r="B67" s="98">
        <v>16</v>
      </c>
      <c r="C67" s="101">
        <v>55</v>
      </c>
      <c r="D67" s="105">
        <f>F22</f>
        <v>94.366448994780967</v>
      </c>
      <c r="E67" s="106">
        <f>F23</f>
        <v>-0.71144378932160313</v>
      </c>
      <c r="F67" s="107">
        <f>F24</f>
        <v>0.48322013562549382</v>
      </c>
      <c r="G67" s="100">
        <f>F25</f>
        <v>94.315187193508706</v>
      </c>
      <c r="H67" s="100">
        <f>F26</f>
        <v>-5.432206236253638E-2</v>
      </c>
      <c r="I67" s="97">
        <f>F27</f>
        <v>0.91957867848517316</v>
      </c>
    </row>
    <row r="68" spans="1:9">
      <c r="A68" s="65">
        <v>26</v>
      </c>
      <c r="B68" s="98">
        <v>16</v>
      </c>
      <c r="C68" s="101">
        <v>56</v>
      </c>
      <c r="D68" s="108">
        <f>G22</f>
        <v>24.728085335350862</v>
      </c>
      <c r="E68" s="100">
        <f>G23</f>
        <v>0.43871713068577234</v>
      </c>
      <c r="F68" s="97">
        <f>G24</f>
        <v>0.56557586006754301</v>
      </c>
      <c r="G68" s="100">
        <f>G25</f>
        <v>24.432699763110971</v>
      </c>
      <c r="H68" s="100">
        <f>G23</f>
        <v>0.43871713068577234</v>
      </c>
      <c r="I68" s="97">
        <f>G24</f>
        <v>0.56557586006754301</v>
      </c>
    </row>
    <row r="69" spans="1:9">
      <c r="A69" s="65">
        <v>26</v>
      </c>
      <c r="B69" s="98">
        <v>17</v>
      </c>
      <c r="C69" s="99">
        <v>51</v>
      </c>
      <c r="D69" s="100">
        <f>C28</f>
        <v>8.7891596479105054</v>
      </c>
      <c r="E69" s="103">
        <f>C29</f>
        <v>0.5355346949482398</v>
      </c>
      <c r="F69" s="104">
        <f>C30</f>
        <v>5.2300262641824226E-2</v>
      </c>
      <c r="G69" s="100">
        <f>C31</f>
        <v>9.6358858923549491</v>
      </c>
      <c r="H69" s="100">
        <f>C32</f>
        <v>0.84672624444444367</v>
      </c>
      <c r="I69" s="97">
        <f>C33</f>
        <v>3.8009548694343138E-4</v>
      </c>
    </row>
    <row r="70" spans="1:9">
      <c r="A70" s="65">
        <v>26</v>
      </c>
      <c r="B70" s="98">
        <v>17</v>
      </c>
      <c r="C70" s="99">
        <v>52</v>
      </c>
      <c r="D70" s="100">
        <f>D28</f>
        <v>115.68975595150209</v>
      </c>
      <c r="E70" s="103">
        <f>D29</f>
        <v>3.381294692446815</v>
      </c>
      <c r="F70" s="104">
        <f>D30</f>
        <v>0.66508953539626448</v>
      </c>
      <c r="G70" s="100">
        <f>D31</f>
        <v>105.98956666188982</v>
      </c>
      <c r="H70" s="100">
        <f>D32</f>
        <v>-8.3846570595919001</v>
      </c>
      <c r="I70" s="97">
        <f>D33</f>
        <v>0.16081190690637892</v>
      </c>
    </row>
    <row r="71" spans="1:9">
      <c r="A71" s="65">
        <v>26</v>
      </c>
      <c r="B71" s="98">
        <v>17</v>
      </c>
      <c r="C71" s="99">
        <v>54</v>
      </c>
      <c r="D71" s="100">
        <f>E28</f>
        <v>96.17295162526257</v>
      </c>
      <c r="E71" s="103">
        <f>E29</f>
        <v>6.3693338058296356E-2</v>
      </c>
      <c r="F71" s="104">
        <f>E30</f>
        <v>0.94418770050640999</v>
      </c>
      <c r="G71" s="100">
        <f>E31</f>
        <v>90.582850567604979</v>
      </c>
      <c r="H71" s="100">
        <f>E32</f>
        <v>-5.5901010576575914</v>
      </c>
      <c r="I71" s="97">
        <f>E33</f>
        <v>4.8763820139226081E-4</v>
      </c>
    </row>
    <row r="72" spans="1:9">
      <c r="A72" s="65">
        <v>26</v>
      </c>
      <c r="B72" s="98">
        <v>17</v>
      </c>
      <c r="C72" s="101">
        <v>55</v>
      </c>
      <c r="D72" s="105">
        <f>F28</f>
        <v>96.811916025141898</v>
      </c>
      <c r="E72" s="106">
        <f>F29</f>
        <v>6.3693338058296356E-2</v>
      </c>
      <c r="F72" s="107">
        <f>F30</f>
        <v>0.94418770050640999</v>
      </c>
      <c r="G72" s="100">
        <f>F31</f>
        <v>96.505882293206838</v>
      </c>
      <c r="H72" s="100">
        <f>F32</f>
        <v>-0.31611163635640677</v>
      </c>
      <c r="I72" s="97">
        <f>F33</f>
        <v>0.28373387984030318</v>
      </c>
    </row>
    <row r="73" spans="1:9">
      <c r="A73" s="65">
        <v>26</v>
      </c>
      <c r="B73" s="98">
        <v>17</v>
      </c>
      <c r="C73" s="101">
        <v>56</v>
      </c>
      <c r="D73" s="108">
        <f>G28</f>
        <v>33.536310295257984</v>
      </c>
      <c r="E73" s="100">
        <f>G29</f>
        <v>-9.4990861682625549E-2</v>
      </c>
      <c r="F73" s="97">
        <f>G30</f>
        <v>0.85787549343427327</v>
      </c>
      <c r="G73" s="100">
        <f>G31</f>
        <v>31.445882644735185</v>
      </c>
      <c r="H73" s="100">
        <f>G32</f>
        <v>-2.0904276505227983</v>
      </c>
      <c r="I73" s="97">
        <f>G33</f>
        <v>3.7129721926962528E-4</v>
      </c>
    </row>
    <row r="74" spans="1:9">
      <c r="A74" s="65">
        <v>26</v>
      </c>
      <c r="B74" s="98">
        <v>18</v>
      </c>
      <c r="C74" s="99">
        <v>51</v>
      </c>
      <c r="D74" s="100">
        <f>C34</f>
        <v>18.932013890080977</v>
      </c>
      <c r="E74" s="103">
        <f>C35</f>
        <v>0.59610215275650713</v>
      </c>
      <c r="F74" s="104">
        <f>C36</f>
        <v>7.8240605648941974E-2</v>
      </c>
      <c r="G74" s="100">
        <f>C37</f>
        <v>20.088807823414314</v>
      </c>
      <c r="H74" s="100">
        <f>C38</f>
        <v>1.1567939333333364</v>
      </c>
      <c r="I74" s="97">
        <f>C39</f>
        <v>3.2812415456994696E-4</v>
      </c>
    </row>
    <row r="75" spans="1:9">
      <c r="A75" s="65">
        <v>26</v>
      </c>
      <c r="B75" s="98">
        <v>18</v>
      </c>
      <c r="C75" s="99">
        <v>52</v>
      </c>
      <c r="D75" s="100">
        <f>D34</f>
        <v>77.939624995879512</v>
      </c>
      <c r="E75" s="103">
        <f>D35</f>
        <v>-8.0216156933664955</v>
      </c>
      <c r="F75" s="104">
        <f>D36</f>
        <v>0.16470587655267055</v>
      </c>
      <c r="G75" s="100">
        <f>D37</f>
        <v>74.641837807783347</v>
      </c>
      <c r="H75" s="100">
        <f>D38</f>
        <v>-4.231207409928528</v>
      </c>
      <c r="I75" s="97">
        <f>D39</f>
        <v>0.65838345188660763</v>
      </c>
    </row>
    <row r="76" spans="1:9">
      <c r="A76" s="65">
        <v>26</v>
      </c>
      <c r="B76" s="98">
        <v>18</v>
      </c>
      <c r="C76" s="99">
        <v>54</v>
      </c>
      <c r="D76" s="100">
        <f>E34</f>
        <v>89.217564725539248</v>
      </c>
      <c r="E76" s="103">
        <f>E35</f>
        <v>3.4362657131729075</v>
      </c>
      <c r="F76" s="104">
        <f>E36</f>
        <v>0.16759570027602844</v>
      </c>
      <c r="G76" s="100">
        <f>E37</f>
        <v>84.223548270846052</v>
      </c>
      <c r="H76" s="100">
        <f>E38</f>
        <v>-4.9940164546931953</v>
      </c>
      <c r="I76" s="97">
        <f>E39</f>
        <v>5.7872823316660769E-4</v>
      </c>
    </row>
    <row r="77" spans="1:9">
      <c r="A77" s="65">
        <v>26</v>
      </c>
      <c r="B77" s="98">
        <v>18</v>
      </c>
      <c r="C77" s="101">
        <v>55</v>
      </c>
      <c r="D77" s="105">
        <f>F34</f>
        <v>80.512672898090145</v>
      </c>
      <c r="E77" s="106">
        <f>F35</f>
        <v>3.4362657131729075</v>
      </c>
      <c r="F77" s="107">
        <f>F36</f>
        <v>0.16759570027602844</v>
      </c>
      <c r="G77" s="100">
        <f>F37</f>
        <v>81.687014686381971</v>
      </c>
      <c r="H77" s="100">
        <f>F38</f>
        <v>1.4585800545688792</v>
      </c>
      <c r="I77" s="97">
        <f>F39</f>
        <v>0.68978971535969236</v>
      </c>
    </row>
    <row r="78" spans="1:9">
      <c r="A78" s="65">
        <v>26</v>
      </c>
      <c r="B78" s="98">
        <v>18</v>
      </c>
      <c r="C78" s="101">
        <v>56</v>
      </c>
      <c r="D78" s="108">
        <f>G34</f>
        <v>6.4253837233545079</v>
      </c>
      <c r="E78" s="100">
        <f>G35</f>
        <v>-3.3933600951898499E-2</v>
      </c>
      <c r="F78" s="97">
        <f>G36</f>
        <v>0.88851414562396536</v>
      </c>
      <c r="G78" s="100">
        <f>G37</f>
        <v>6.1379185415802571</v>
      </c>
      <c r="H78" s="100">
        <f>G38</f>
        <v>-0.28746518177425084</v>
      </c>
      <c r="I78" s="97">
        <f>G39</f>
        <v>0.26047760018099286</v>
      </c>
    </row>
    <row r="79" spans="1:9">
      <c r="A79" s="65">
        <v>26</v>
      </c>
      <c r="B79" s="98">
        <v>19</v>
      </c>
      <c r="C79" s="99">
        <v>51</v>
      </c>
      <c r="D79" s="100">
        <f>C40</f>
        <v>21.068212361079397</v>
      </c>
      <c r="E79" s="103">
        <f>C41</f>
        <v>1.0431743089877927</v>
      </c>
      <c r="F79" s="104">
        <f>C42</f>
        <v>2.4577242253237806E-3</v>
      </c>
      <c r="G79" s="100">
        <f>C43</f>
        <v>21.997480727746062</v>
      </c>
      <c r="H79" s="100">
        <f>C44</f>
        <v>0.92926836666666546</v>
      </c>
      <c r="I79" s="97">
        <f>C45</f>
        <v>1.3707824412803367E-2</v>
      </c>
    </row>
    <row r="80" spans="1:9">
      <c r="A80" s="65">
        <v>26</v>
      </c>
      <c r="B80" s="98">
        <v>19</v>
      </c>
      <c r="C80" s="99">
        <v>52</v>
      </c>
      <c r="D80" s="100">
        <f>D40</f>
        <v>66.824874995231312</v>
      </c>
      <c r="E80" s="100">
        <f>D41</f>
        <v>4.2152752980041717</v>
      </c>
      <c r="F80" s="104">
        <f>D42</f>
        <v>0.61164703956046718</v>
      </c>
      <c r="G80" s="100">
        <f>D43</f>
        <v>63.149323933828214</v>
      </c>
      <c r="H80" s="100">
        <f>D44</f>
        <v>-5.5002737553424357</v>
      </c>
      <c r="I80" s="97">
        <f>D45</f>
        <v>0.62078031057862393</v>
      </c>
    </row>
    <row r="81" spans="1:9">
      <c r="A81" s="65">
        <v>26</v>
      </c>
      <c r="B81" s="98">
        <v>19</v>
      </c>
      <c r="C81" s="99">
        <v>54</v>
      </c>
      <c r="D81" s="100">
        <f>E40</f>
        <v>95.766687105318255</v>
      </c>
      <c r="E81" s="103">
        <f>E41</f>
        <v>-2.0461892663901295</v>
      </c>
      <c r="F81" s="104">
        <f>E42</f>
        <v>0.56351163753068123</v>
      </c>
      <c r="G81" s="100">
        <f>E43</f>
        <v>98.730893662153434</v>
      </c>
      <c r="H81" s="100">
        <f>E44</f>
        <v>2.9642065568351796</v>
      </c>
      <c r="I81" s="97">
        <f>E45</f>
        <v>4.1004510639566998E-2</v>
      </c>
    </row>
    <row r="82" spans="1:9">
      <c r="A82" s="65">
        <v>26</v>
      </c>
      <c r="B82" s="98">
        <v>19</v>
      </c>
      <c r="C82" s="101">
        <v>55</v>
      </c>
      <c r="D82" s="105">
        <f>F40</f>
        <v>79.70308368976643</v>
      </c>
      <c r="E82" s="106">
        <f>F41</f>
        <v>-2.0461892663901295</v>
      </c>
      <c r="F82" s="107">
        <f>F42</f>
        <v>0.56351163753068123</v>
      </c>
      <c r="G82" s="100">
        <f>F43</f>
        <v>81.411305485917225</v>
      </c>
      <c r="H82" s="100">
        <f>F44</f>
        <v>2.1432317509819541</v>
      </c>
      <c r="I82" s="97">
        <f>F45</f>
        <v>0.51264010036475693</v>
      </c>
    </row>
    <row r="83" spans="1:9">
      <c r="A83" s="65">
        <v>26</v>
      </c>
      <c r="B83" s="98">
        <v>19</v>
      </c>
      <c r="C83" s="101">
        <v>56</v>
      </c>
      <c r="D83" s="108">
        <f>G40</f>
        <v>5.3550534591408123</v>
      </c>
      <c r="E83" s="106">
        <f>G41</f>
        <v>-9.9876641551768397E-2</v>
      </c>
      <c r="F83" s="109">
        <f>G42</f>
        <v>0.69458459355654478</v>
      </c>
      <c r="G83" s="100">
        <f>G43</f>
        <v>5.6484808680382503</v>
      </c>
      <c r="H83" s="100">
        <f>G44</f>
        <v>0.29342740889743801</v>
      </c>
      <c r="I83" s="97">
        <f>G45</f>
        <v>0.18243393363867966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3"/>
  <dimension ref="A1:O83"/>
  <sheetViews>
    <sheetView topLeftCell="A34"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1" width="9.28515625" style="27" bestFit="1" customWidth="1"/>
    <col min="12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21.157571688484548</v>
      </c>
      <c r="D4" s="31">
        <v>97.691111122009644</v>
      </c>
      <c r="E4" s="30">
        <v>80.487175910407331</v>
      </c>
      <c r="F4" s="30">
        <v>97.173438020575986</v>
      </c>
      <c r="G4" s="130">
        <v>5.4811352623668252</v>
      </c>
    </row>
    <row r="5" spans="1:8" ht="18.75">
      <c r="A5" s="178"/>
      <c r="B5" s="21" t="s">
        <v>17</v>
      </c>
      <c r="C5" s="131">
        <v>0.89069934944489404</v>
      </c>
      <c r="D5" s="33">
        <v>-3.6974564151763167</v>
      </c>
      <c r="E5" s="34">
        <v>-0.11248357281258185</v>
      </c>
      <c r="F5" s="34">
        <v>-0.11248357281258185</v>
      </c>
      <c r="G5" s="132">
        <v>-0.6196583752474637</v>
      </c>
    </row>
    <row r="6" spans="1:8">
      <c r="A6" s="178"/>
      <c r="B6" s="22" t="s">
        <v>18</v>
      </c>
      <c r="C6" s="133">
        <v>1.585678999061736E-3</v>
      </c>
      <c r="D6" s="37">
        <v>0.61258151487571144</v>
      </c>
      <c r="E6" s="37">
        <v>0.88746070487779039</v>
      </c>
      <c r="F6" s="37">
        <v>0.88746070487779039</v>
      </c>
      <c r="G6" s="134">
        <v>3.3007894601930795E-3</v>
      </c>
    </row>
    <row r="7" spans="1:8" ht="18.75">
      <c r="A7" s="178"/>
      <c r="B7" s="23" t="s">
        <v>19</v>
      </c>
      <c r="C7" s="78">
        <v>22.176980305151218</v>
      </c>
      <c r="D7" s="38">
        <v>100.11483525131071</v>
      </c>
      <c r="E7" s="112">
        <v>73.447225371930671</v>
      </c>
      <c r="F7" s="10">
        <v>97.128951970021717</v>
      </c>
      <c r="G7" s="113">
        <v>4.6684382233079331</v>
      </c>
    </row>
    <row r="8" spans="1:8" ht="18.75">
      <c r="A8" s="178"/>
      <c r="B8" s="21" t="s">
        <v>20</v>
      </c>
      <c r="C8" s="135">
        <v>1.01940861666667</v>
      </c>
      <c r="D8" s="40">
        <v>2.4810078434607941</v>
      </c>
      <c r="E8" s="136">
        <v>-7.0399505384766599</v>
      </c>
      <c r="F8" s="10">
        <v>-4.578005210112239E-2</v>
      </c>
      <c r="G8" s="137">
        <v>-0.81269703905889212</v>
      </c>
    </row>
    <row r="9" spans="1:8" ht="16.5" thickBot="1">
      <c r="A9" s="179"/>
      <c r="B9" s="25" t="s">
        <v>21</v>
      </c>
      <c r="C9" s="146">
        <v>1.4772667377616931E-2</v>
      </c>
      <c r="D9" s="139">
        <v>0.85840901686551041</v>
      </c>
      <c r="E9" s="147">
        <v>3.1855555064820636E-2</v>
      </c>
      <c r="F9" s="47">
        <v>0.97801616710490902</v>
      </c>
      <c r="G9" s="141">
        <v>2.0137027028323878E-3</v>
      </c>
    </row>
    <row r="10" spans="1:8" ht="18.75">
      <c r="A10" s="180" t="s">
        <v>2</v>
      </c>
      <c r="B10" s="20" t="s">
        <v>16</v>
      </c>
      <c r="C10" s="129">
        <v>11.433850361818367</v>
      </c>
      <c r="D10" s="31">
        <v>87.960722232748665</v>
      </c>
      <c r="E10" s="30">
        <v>96.15490384269178</v>
      </c>
      <c r="F10" s="30">
        <v>87.424369204441348</v>
      </c>
      <c r="G10" s="130">
        <v>5.8776395906893475</v>
      </c>
    </row>
    <row r="11" spans="1:8" ht="18.75">
      <c r="A11" s="178"/>
      <c r="B11" s="21" t="s">
        <v>17</v>
      </c>
      <c r="C11" s="131">
        <v>0.39397098472357533</v>
      </c>
      <c r="D11" s="33">
        <v>16.497823520545822</v>
      </c>
      <c r="E11" s="34">
        <v>4.9769473502344166</v>
      </c>
      <c r="F11" s="34">
        <v>4.9769473502344166</v>
      </c>
      <c r="G11" s="132">
        <v>0.41108356547958758</v>
      </c>
    </row>
    <row r="12" spans="1:8">
      <c r="A12" s="178"/>
      <c r="B12" s="22" t="s">
        <v>18</v>
      </c>
      <c r="C12" s="133">
        <v>0.13513034243567146</v>
      </c>
      <c r="D12" s="37">
        <v>2.7189427495107017E-2</v>
      </c>
      <c r="E12" s="37">
        <v>1.3636623739336981E-2</v>
      </c>
      <c r="F12" s="37">
        <v>1.3636623739336981E-2</v>
      </c>
      <c r="G12" s="134">
        <v>1.3810763763788549E-3</v>
      </c>
    </row>
    <row r="13" spans="1:8" ht="18.75">
      <c r="A13" s="178"/>
      <c r="B13" s="23" t="s">
        <v>19</v>
      </c>
      <c r="C13" s="78">
        <v>13.201120411818367</v>
      </c>
      <c r="D13" s="38">
        <v>77.850560403210011</v>
      </c>
      <c r="E13" s="148">
        <v>100.20413576025352</v>
      </c>
      <c r="F13" s="10">
        <v>82.703551320403321</v>
      </c>
      <c r="G13" s="113">
        <v>5.0278119856252887</v>
      </c>
    </row>
    <row r="14" spans="1:8" ht="18.75">
      <c r="A14" s="178"/>
      <c r="B14" s="21" t="s">
        <v>20</v>
      </c>
      <c r="C14" s="135">
        <v>1.7672700500000005</v>
      </c>
      <c r="D14" s="10">
        <v>-11.493950450732594</v>
      </c>
      <c r="E14" s="11">
        <v>4.0492319175617411</v>
      </c>
      <c r="F14" s="10">
        <v>-5.3998878424829391</v>
      </c>
      <c r="G14" s="137">
        <v>-0.84982760506405874</v>
      </c>
    </row>
    <row r="15" spans="1:8" ht="16.5" thickBot="1">
      <c r="A15" s="181"/>
      <c r="B15" s="26" t="s">
        <v>21</v>
      </c>
      <c r="C15" s="149">
        <v>9.1162722850908422E-6</v>
      </c>
      <c r="D15" s="48">
        <v>0.27697980289386903</v>
      </c>
      <c r="E15" s="121">
        <v>1.2829698286543709E-3</v>
      </c>
      <c r="F15" s="43">
        <v>8.5346265095003288E-2</v>
      </c>
      <c r="G15" s="143">
        <v>1.1388292856591227E-3</v>
      </c>
    </row>
    <row r="16" spans="1:8" ht="18.75">
      <c r="A16" s="177" t="s">
        <v>3</v>
      </c>
      <c r="B16" s="24" t="s">
        <v>16</v>
      </c>
      <c r="C16" s="144">
        <v>1.325666667661733</v>
      </c>
      <c r="D16" s="45">
        <v>45.193833341484677</v>
      </c>
      <c r="E16" s="44">
        <v>83.099562528405983</v>
      </c>
      <c r="F16" s="44">
        <v>73.468051408184095</v>
      </c>
      <c r="G16" s="145">
        <v>3.1128337419352703</v>
      </c>
    </row>
    <row r="17" spans="1:7" ht="18.75">
      <c r="A17" s="178"/>
      <c r="B17" s="21" t="s">
        <v>17</v>
      </c>
      <c r="C17" s="131">
        <v>1.2897046118424018</v>
      </c>
      <c r="D17" s="33">
        <v>-0.77359657831749706</v>
      </c>
      <c r="E17" s="34">
        <v>5.400429466794793</v>
      </c>
      <c r="F17" s="34">
        <v>5.400429466794793</v>
      </c>
      <c r="G17" s="132">
        <v>0.24680246815776402</v>
      </c>
    </row>
    <row r="18" spans="1:7">
      <c r="A18" s="178"/>
      <c r="B18" s="22" t="s">
        <v>18</v>
      </c>
      <c r="C18" s="133">
        <v>3.2126538430354061E-2</v>
      </c>
      <c r="D18" s="37">
        <v>0.88351656973243364</v>
      </c>
      <c r="E18" s="37">
        <v>0.14766643548270875</v>
      </c>
      <c r="F18" s="37">
        <v>0.14766643548270875</v>
      </c>
      <c r="G18" s="134">
        <v>0.27031480679832698</v>
      </c>
    </row>
    <row r="19" spans="1:7" ht="18.75">
      <c r="A19" s="178"/>
      <c r="B19" s="23" t="s">
        <v>19</v>
      </c>
      <c r="C19" s="78">
        <v>2.8563165343284003</v>
      </c>
      <c r="D19" s="38">
        <v>51.839925122067939</v>
      </c>
      <c r="E19" s="112">
        <v>89.760645535468981</v>
      </c>
      <c r="F19" s="10">
        <v>78.182938027999924</v>
      </c>
      <c r="G19" s="113">
        <v>3.1569058149565805</v>
      </c>
    </row>
    <row r="20" spans="1:7" ht="18.75">
      <c r="A20" s="178"/>
      <c r="B20" s="21" t="s">
        <v>20</v>
      </c>
      <c r="C20" s="135">
        <v>1.5306498666666672</v>
      </c>
      <c r="D20" s="10">
        <v>14.70574919008393</v>
      </c>
      <c r="E20" s="11">
        <v>6.6610830070629987</v>
      </c>
      <c r="F20" s="10">
        <v>6.4176012966782059</v>
      </c>
      <c r="G20" s="137">
        <v>4.4072073021310221E-2</v>
      </c>
    </row>
    <row r="21" spans="1:7" ht="16.5" thickBot="1">
      <c r="A21" s="179"/>
      <c r="B21" s="25" t="s">
        <v>21</v>
      </c>
      <c r="C21" s="146">
        <v>8.351282605501836E-3</v>
      </c>
      <c r="D21" s="46">
        <v>0.25808187753532441</v>
      </c>
      <c r="E21" s="89">
        <v>1.7771048318645465E-2</v>
      </c>
      <c r="F21" s="47">
        <v>0.18987410971176399</v>
      </c>
      <c r="G21" s="141">
        <v>0.83125159467797316</v>
      </c>
    </row>
    <row r="22" spans="1:7" ht="18.75">
      <c r="A22" s="180" t="s">
        <v>4</v>
      </c>
      <c r="B22" s="20" t="s">
        <v>16</v>
      </c>
      <c r="C22" s="129">
        <v>-4.1727095955810025</v>
      </c>
      <c r="D22" s="31">
        <v>125.5181666787569</v>
      </c>
      <c r="E22" s="30">
        <v>84.593771062187187</v>
      </c>
      <c r="F22" s="30">
        <v>97.509413355464247</v>
      </c>
      <c r="G22" s="130">
        <v>23.90037280476778</v>
      </c>
    </row>
    <row r="23" spans="1:7" ht="18.75">
      <c r="A23" s="178"/>
      <c r="B23" s="21" t="s">
        <v>17</v>
      </c>
      <c r="C23" s="131">
        <v>0.14098964121859814</v>
      </c>
      <c r="D23" s="33">
        <v>0.12413424048384777</v>
      </c>
      <c r="E23" s="34">
        <v>-0.56332929383673713</v>
      </c>
      <c r="F23" s="34">
        <v>-0.56332929383673713</v>
      </c>
      <c r="G23" s="132">
        <v>0.18478732951439186</v>
      </c>
    </row>
    <row r="24" spans="1:7">
      <c r="A24" s="178"/>
      <c r="B24" s="22" t="s">
        <v>18</v>
      </c>
      <c r="C24" s="133">
        <v>0.77171479410613353</v>
      </c>
      <c r="D24" s="37">
        <v>0.98736893840947415</v>
      </c>
      <c r="E24" s="37">
        <v>0.34195980351984689</v>
      </c>
      <c r="F24" s="37">
        <v>0.34195980351984689</v>
      </c>
      <c r="G24" s="134">
        <v>0.83371905680627689</v>
      </c>
    </row>
    <row r="25" spans="1:7" ht="18.75">
      <c r="A25" s="178"/>
      <c r="B25" s="23" t="s">
        <v>19</v>
      </c>
      <c r="C25" s="78">
        <v>-2.2653139400254467</v>
      </c>
      <c r="D25" s="38">
        <v>146.89769221681431</v>
      </c>
      <c r="E25" s="112">
        <v>90.567018459583778</v>
      </c>
      <c r="F25" s="10">
        <v>97.241308128358611</v>
      </c>
      <c r="G25" s="113">
        <v>21.142166977261482</v>
      </c>
    </row>
    <row r="26" spans="1:7" ht="18.75">
      <c r="A26" s="178"/>
      <c r="B26" s="21" t="s">
        <v>20</v>
      </c>
      <c r="C26" s="135">
        <v>1.9073956555555558</v>
      </c>
      <c r="D26" s="10">
        <v>17.033012912604743</v>
      </c>
      <c r="E26" s="11">
        <v>5.9732473973965909</v>
      </c>
      <c r="F26" s="10">
        <v>-0.27495317413948378</v>
      </c>
      <c r="G26" s="115">
        <v>-2.7582058275062984</v>
      </c>
    </row>
    <row r="27" spans="1:7" ht="16.5" thickBot="1">
      <c r="A27" s="181"/>
      <c r="B27" s="26" t="s">
        <v>21</v>
      </c>
      <c r="C27" s="149">
        <v>1.0896583678189275E-3</v>
      </c>
      <c r="D27" s="48">
        <v>4.5430933033750509E-2</v>
      </c>
      <c r="E27" s="121">
        <v>3.2356491965386903E-2</v>
      </c>
      <c r="F27" s="43">
        <v>0.6982471751592082</v>
      </c>
      <c r="G27" s="122">
        <v>4.0950962065269296E-3</v>
      </c>
    </row>
    <row r="28" spans="1:7" ht="18.75">
      <c r="A28" s="177" t="s">
        <v>5</v>
      </c>
      <c r="B28" s="24" t="s">
        <v>16</v>
      </c>
      <c r="C28" s="144">
        <v>8.4976808051624015</v>
      </c>
      <c r="D28" s="45">
        <v>120.1671666687789</v>
      </c>
      <c r="E28" s="44">
        <v>96.83310800905457</v>
      </c>
      <c r="F28" s="44">
        <v>97.436205437927512</v>
      </c>
      <c r="G28" s="145">
        <v>33.964893946009795</v>
      </c>
    </row>
    <row r="29" spans="1:7" ht="18.75">
      <c r="A29" s="178"/>
      <c r="B29" s="21" t="s">
        <v>17</v>
      </c>
      <c r="C29" s="131">
        <v>0.46261406950118439</v>
      </c>
      <c r="D29" s="33">
        <v>2.1586763104340183</v>
      </c>
      <c r="E29" s="34">
        <v>3.7460423683930419E-2</v>
      </c>
      <c r="F29" s="34">
        <v>3.7460423683930419E-2</v>
      </c>
      <c r="G29" s="132">
        <v>0.21987402549816432</v>
      </c>
    </row>
    <row r="30" spans="1:7">
      <c r="A30" s="178"/>
      <c r="B30" s="22" t="s">
        <v>18</v>
      </c>
      <c r="C30" s="133">
        <v>0.10862693940250945</v>
      </c>
      <c r="D30" s="37">
        <v>0.77521084463690926</v>
      </c>
      <c r="E30" s="49">
        <v>0.95094333303749934</v>
      </c>
      <c r="F30" s="49">
        <v>0.95094333303749934</v>
      </c>
      <c r="G30" s="134">
        <v>0.55741534652412672</v>
      </c>
    </row>
    <row r="31" spans="1:7" ht="18.75">
      <c r="A31" s="178"/>
      <c r="B31" s="23" t="s">
        <v>19</v>
      </c>
      <c r="C31" s="78">
        <v>9.3606369718290683</v>
      </c>
      <c r="D31" s="38">
        <v>114.8032567820658</v>
      </c>
      <c r="E31" s="112">
        <v>93.315548747667947</v>
      </c>
      <c r="F31" s="10">
        <v>97.504622537424652</v>
      </c>
      <c r="G31" s="113">
        <v>31.063497509546611</v>
      </c>
    </row>
    <row r="32" spans="1:7" ht="18.75">
      <c r="A32" s="178"/>
      <c r="B32" s="21" t="s">
        <v>20</v>
      </c>
      <c r="C32" s="135">
        <v>0.86295616666666675</v>
      </c>
      <c r="D32" s="10">
        <v>-4.4637067140792661</v>
      </c>
      <c r="E32" s="11">
        <v>-3.5175592613866229</v>
      </c>
      <c r="F32" s="10">
        <v>7.0217327521768527E-2</v>
      </c>
      <c r="G32" s="115">
        <v>-2.9013964364631839</v>
      </c>
    </row>
    <row r="33" spans="1:15" ht="16.5" thickBot="1">
      <c r="A33" s="179"/>
      <c r="B33" s="25" t="s">
        <v>21</v>
      </c>
      <c r="C33" s="146">
        <v>3.790370119244834E-3</v>
      </c>
      <c r="D33" s="46">
        <v>0.52646429119722882</v>
      </c>
      <c r="E33" s="117">
        <v>2.237182208396564E-2</v>
      </c>
      <c r="F33" s="47">
        <v>0.89561128629886466</v>
      </c>
      <c r="G33" s="118">
        <v>8.6118194586538198E-5</v>
      </c>
    </row>
    <row r="34" spans="1:15" ht="18.75">
      <c r="A34" s="177" t="s">
        <v>6</v>
      </c>
      <c r="B34" s="24" t="s">
        <v>16</v>
      </c>
      <c r="C34" s="129">
        <v>19.599388890972843</v>
      </c>
      <c r="D34" s="31">
        <v>63.245777773542549</v>
      </c>
      <c r="E34" s="30">
        <v>83.710722206976328</v>
      </c>
      <c r="F34" s="30">
        <v>85.995618336677254</v>
      </c>
      <c r="G34" s="130">
        <v>6.4343854252248009</v>
      </c>
    </row>
    <row r="35" spans="1:15" ht="18.75">
      <c r="A35" s="178"/>
      <c r="B35" s="21" t="s">
        <v>17</v>
      </c>
      <c r="C35" s="131">
        <v>0.38890001484172126</v>
      </c>
      <c r="D35" s="33">
        <v>-2.2914423474483292</v>
      </c>
      <c r="E35" s="34">
        <v>0.68496022006778523</v>
      </c>
      <c r="F35" s="34">
        <v>0.68496022006778523</v>
      </c>
      <c r="G35" s="132">
        <v>-0.2649206816735849</v>
      </c>
    </row>
    <row r="36" spans="1:15">
      <c r="A36" s="178"/>
      <c r="B36" s="22" t="s">
        <v>18</v>
      </c>
      <c r="C36" s="133">
        <v>0.31685111936389843</v>
      </c>
      <c r="D36" s="37">
        <v>0.70647762936021219</v>
      </c>
      <c r="E36" s="37">
        <v>0.75559258430274889</v>
      </c>
      <c r="F36" s="37">
        <v>0.75559258430274889</v>
      </c>
      <c r="G36" s="134">
        <v>0.33686959173991982</v>
      </c>
    </row>
    <row r="37" spans="1:15" ht="18.75">
      <c r="A37" s="178"/>
      <c r="B37" s="23" t="s">
        <v>19</v>
      </c>
      <c r="C37" s="78">
        <v>20.719996724306167</v>
      </c>
      <c r="D37" s="38">
        <v>68.885086157413085</v>
      </c>
      <c r="E37" s="112">
        <v>78.073069069132615</v>
      </c>
      <c r="F37" s="10">
        <v>81.346173874429866</v>
      </c>
      <c r="G37" s="113">
        <v>5.4171992812425209</v>
      </c>
    </row>
    <row r="38" spans="1:15" ht="18.75">
      <c r="A38" s="178"/>
      <c r="B38" s="21" t="s">
        <v>20</v>
      </c>
      <c r="C38" s="135">
        <v>1.1206078333333238</v>
      </c>
      <c r="D38" s="10">
        <v>8.9164978001576802</v>
      </c>
      <c r="E38" s="11">
        <v>-5.6376531378437136</v>
      </c>
      <c r="F38" s="10">
        <v>-5.4066062343369286</v>
      </c>
      <c r="G38" s="115">
        <v>-1.01718614398228</v>
      </c>
    </row>
    <row r="39" spans="1:15" ht="16.5" thickBot="1">
      <c r="A39" s="179"/>
      <c r="B39" s="25" t="s">
        <v>21</v>
      </c>
      <c r="C39" s="149">
        <v>3.4976451631648152E-3</v>
      </c>
      <c r="D39" s="48">
        <v>0.4894672997797862</v>
      </c>
      <c r="E39" s="121">
        <v>1.0857870992726174E-2</v>
      </c>
      <c r="F39" s="43">
        <v>0.31967325196170016</v>
      </c>
      <c r="G39" s="122">
        <v>6.3674382264621637E-3</v>
      </c>
    </row>
    <row r="40" spans="1:15" ht="18.75">
      <c r="A40" s="180" t="s">
        <v>7</v>
      </c>
      <c r="B40" s="20" t="s">
        <v>16</v>
      </c>
      <c r="C40" s="144">
        <v>21.682616491796296</v>
      </c>
      <c r="D40" s="45">
        <v>59.642111121333301</v>
      </c>
      <c r="E40" s="44">
        <v>95.139765602352469</v>
      </c>
      <c r="F40" s="44">
        <v>83.104605850541788</v>
      </c>
      <c r="G40" s="145">
        <v>5.5376094630382866</v>
      </c>
    </row>
    <row r="41" spans="1:15" ht="18.75">
      <c r="A41" s="178"/>
      <c r="B41" s="21" t="s">
        <v>17</v>
      </c>
      <c r="C41" s="131">
        <v>0.83674932230486387</v>
      </c>
      <c r="D41" s="33">
        <v>1.3650129943326328</v>
      </c>
      <c r="E41" s="34">
        <v>-0.5465466931875087</v>
      </c>
      <c r="F41" s="34">
        <v>-0.5465466931875087</v>
      </c>
      <c r="G41" s="132">
        <v>-0.1492741896768765</v>
      </c>
    </row>
    <row r="42" spans="1:15">
      <c r="A42" s="178"/>
      <c r="B42" s="22" t="s">
        <v>18</v>
      </c>
      <c r="C42" s="133">
        <v>3.3839146417390518E-2</v>
      </c>
      <c r="D42" s="37">
        <v>0.83682622351986025</v>
      </c>
      <c r="E42" s="49">
        <v>0.84051585776677351</v>
      </c>
      <c r="F42" s="49">
        <v>0.84051585776677351</v>
      </c>
      <c r="G42" s="134">
        <v>0.45591347787353287</v>
      </c>
    </row>
    <row r="43" spans="1:15" ht="18.75">
      <c r="A43" s="178"/>
      <c r="B43" s="23" t="s">
        <v>19</v>
      </c>
      <c r="C43" s="78">
        <v>22.584094658462966</v>
      </c>
      <c r="D43" s="38">
        <v>57.78843026374463</v>
      </c>
      <c r="E43" s="112">
        <v>97.320474148666406</v>
      </c>
      <c r="F43" s="10">
        <v>84.198077470322801</v>
      </c>
      <c r="G43" s="113">
        <v>5.5719477913309916</v>
      </c>
    </row>
    <row r="44" spans="1:15" ht="18.75">
      <c r="A44" s="178"/>
      <c r="B44" s="21" t="s">
        <v>20</v>
      </c>
      <c r="C44" s="135">
        <v>0.90147816666667069</v>
      </c>
      <c r="D44" s="10">
        <v>-3.1080067803395188</v>
      </c>
      <c r="E44" s="11">
        <v>2.1807085463139373</v>
      </c>
      <c r="F44" s="10">
        <v>1.3157773971608144</v>
      </c>
      <c r="G44" s="137">
        <v>3.4338328292705E-2</v>
      </c>
    </row>
    <row r="45" spans="1:15" ht="16.5" thickBot="1">
      <c r="A45" s="179"/>
      <c r="B45" s="25" t="s">
        <v>21</v>
      </c>
      <c r="C45" s="149">
        <v>2.9457122906364923E-2</v>
      </c>
      <c r="D45" s="48">
        <v>0.86254495056350555</v>
      </c>
      <c r="E45" s="121">
        <v>6.232625112803216E-2</v>
      </c>
      <c r="F45" s="43">
        <v>0.82619990835191293</v>
      </c>
      <c r="G45" s="143">
        <v>0.91734153001809338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21.157571688484548</v>
      </c>
      <c r="E49" s="100">
        <f>C5</f>
        <v>0.89069934944489404</v>
      </c>
      <c r="F49" s="97">
        <f>C6</f>
        <v>1.585678999061736E-3</v>
      </c>
      <c r="G49" s="100">
        <f>C7</f>
        <v>22.176980305151218</v>
      </c>
      <c r="H49" s="100">
        <f>C8</f>
        <v>1.01940861666667</v>
      </c>
      <c r="I49" s="97">
        <f>C9</f>
        <v>1.4772667377616931E-2</v>
      </c>
    </row>
    <row r="50" spans="1:9">
      <c r="A50" s="65">
        <v>26</v>
      </c>
      <c r="B50" s="98">
        <v>13</v>
      </c>
      <c r="C50" s="99">
        <v>52</v>
      </c>
      <c r="D50" s="100">
        <f>D4</f>
        <v>97.691111122009644</v>
      </c>
      <c r="E50" s="100">
        <f>D5</f>
        <v>-3.6974564151763167</v>
      </c>
      <c r="F50" s="97">
        <f>D6</f>
        <v>0.61258151487571144</v>
      </c>
      <c r="G50" s="100">
        <f>D7</f>
        <v>100.11483525131071</v>
      </c>
      <c r="H50" s="100">
        <f>D8</f>
        <v>2.4810078434607941</v>
      </c>
      <c r="I50" s="97">
        <f>D9</f>
        <v>0.85840901686551041</v>
      </c>
    </row>
    <row r="51" spans="1:9">
      <c r="A51" s="65">
        <v>26</v>
      </c>
      <c r="B51" s="98">
        <v>13</v>
      </c>
      <c r="C51" s="99">
        <v>54</v>
      </c>
      <c r="D51" s="100">
        <f>E4</f>
        <v>80.487175910407331</v>
      </c>
      <c r="E51" s="100">
        <f>E5</f>
        <v>-0.11248357281258185</v>
      </c>
      <c r="F51" s="97">
        <f>E6</f>
        <v>0.88746070487779039</v>
      </c>
      <c r="G51" s="100">
        <f>E7</f>
        <v>73.447225371930671</v>
      </c>
      <c r="H51" s="100">
        <f>E8</f>
        <v>-7.0399505384766599</v>
      </c>
      <c r="I51" s="97">
        <f>E9</f>
        <v>3.1855555064820636E-2</v>
      </c>
    </row>
    <row r="52" spans="1:9">
      <c r="A52" s="65">
        <v>26</v>
      </c>
      <c r="B52" s="98">
        <v>13</v>
      </c>
      <c r="C52" s="101">
        <v>55</v>
      </c>
      <c r="D52" s="100">
        <f>F4</f>
        <v>97.173438020575986</v>
      </c>
      <c r="E52" s="100">
        <f>F5</f>
        <v>-0.11248357281258185</v>
      </c>
      <c r="F52" s="97">
        <f>F6</f>
        <v>0.88746070487779039</v>
      </c>
      <c r="G52" s="100">
        <f>F7</f>
        <v>97.128951970021717</v>
      </c>
      <c r="H52" s="100">
        <f>F8</f>
        <v>-4.578005210112239E-2</v>
      </c>
      <c r="I52" s="97">
        <f>F9</f>
        <v>0.97801616710490902</v>
      </c>
    </row>
    <row r="53" spans="1:9">
      <c r="A53" s="65">
        <v>26</v>
      </c>
      <c r="B53" s="98">
        <v>13</v>
      </c>
      <c r="C53" s="101">
        <v>56</v>
      </c>
      <c r="D53" s="100">
        <f>G4</f>
        <v>5.4811352623668252</v>
      </c>
      <c r="E53" s="100">
        <f>G5</f>
        <v>-0.6196583752474637</v>
      </c>
      <c r="F53" s="97">
        <f>G6</f>
        <v>3.3007894601930795E-3</v>
      </c>
      <c r="G53" s="100">
        <f>G7</f>
        <v>4.6684382233079331</v>
      </c>
      <c r="H53" s="100">
        <f>G8</f>
        <v>-0.81269703905889212</v>
      </c>
      <c r="I53" s="97">
        <f>G9</f>
        <v>2.0137027028323878E-3</v>
      </c>
    </row>
    <row r="54" spans="1:9">
      <c r="A54" s="65">
        <v>26</v>
      </c>
      <c r="B54" s="98">
        <v>14</v>
      </c>
      <c r="C54" s="99">
        <v>51</v>
      </c>
      <c r="D54" s="100">
        <f>C10</f>
        <v>11.433850361818367</v>
      </c>
      <c r="E54" s="100">
        <f>C11</f>
        <v>0.39397098472357533</v>
      </c>
      <c r="F54" s="97">
        <f>C12</f>
        <v>0.13513034243567146</v>
      </c>
      <c r="G54" s="100">
        <f>C13</f>
        <v>13.201120411818367</v>
      </c>
      <c r="H54" s="100">
        <f>C14</f>
        <v>1.7672700500000005</v>
      </c>
      <c r="I54" s="97">
        <f>C15</f>
        <v>9.1162722850908422E-6</v>
      </c>
    </row>
    <row r="55" spans="1:9">
      <c r="A55" s="65">
        <v>26</v>
      </c>
      <c r="B55" s="98">
        <v>14</v>
      </c>
      <c r="C55" s="99">
        <v>52</v>
      </c>
      <c r="D55" s="100">
        <f>D10</f>
        <v>87.960722232748665</v>
      </c>
      <c r="E55" s="100">
        <f>D11</f>
        <v>16.497823520545822</v>
      </c>
      <c r="F55" s="97">
        <f>D12</f>
        <v>2.7189427495107017E-2</v>
      </c>
      <c r="G55" s="100">
        <f>D13</f>
        <v>77.850560403210011</v>
      </c>
      <c r="H55" s="100">
        <f>D14</f>
        <v>-11.493950450732594</v>
      </c>
      <c r="I55" s="97">
        <f>D15</f>
        <v>0.27697980289386903</v>
      </c>
    </row>
    <row r="56" spans="1:9">
      <c r="A56" s="65">
        <v>26</v>
      </c>
      <c r="B56" s="98">
        <v>14</v>
      </c>
      <c r="C56" s="99">
        <v>54</v>
      </c>
      <c r="D56" s="100">
        <f>E10</f>
        <v>96.15490384269178</v>
      </c>
      <c r="E56" s="100">
        <f>E11</f>
        <v>4.9769473502344166</v>
      </c>
      <c r="F56" s="97">
        <f>E12</f>
        <v>1.3636623739336981E-2</v>
      </c>
      <c r="G56" s="100">
        <f>E13</f>
        <v>100.20413576025352</v>
      </c>
      <c r="H56" s="100">
        <f>E14</f>
        <v>4.0492319175617411</v>
      </c>
      <c r="I56" s="97">
        <f>E15</f>
        <v>1.2829698286543709E-3</v>
      </c>
    </row>
    <row r="57" spans="1:9">
      <c r="A57" s="65">
        <v>26</v>
      </c>
      <c r="B57" s="98">
        <v>14</v>
      </c>
      <c r="C57" s="101">
        <v>55</v>
      </c>
      <c r="D57" s="100">
        <f>F10</f>
        <v>87.424369204441348</v>
      </c>
      <c r="E57" s="100">
        <f>F11</f>
        <v>4.9769473502344166</v>
      </c>
      <c r="F57" s="97">
        <f>F12</f>
        <v>1.3636623739336981E-2</v>
      </c>
      <c r="G57" s="100">
        <f>F13</f>
        <v>82.703551320403321</v>
      </c>
      <c r="H57" s="100">
        <f>F14</f>
        <v>-5.3998878424829391</v>
      </c>
      <c r="I57" s="97">
        <f>F15</f>
        <v>8.5346265095003288E-2</v>
      </c>
    </row>
    <row r="58" spans="1:9">
      <c r="A58" s="65">
        <v>26</v>
      </c>
      <c r="B58" s="98">
        <v>14</v>
      </c>
      <c r="C58" s="101">
        <v>56</v>
      </c>
      <c r="D58" s="100">
        <f>G10</f>
        <v>5.8776395906893475</v>
      </c>
      <c r="E58" s="100">
        <f>G11</f>
        <v>0.41108356547958758</v>
      </c>
      <c r="F58" s="97">
        <f>G12</f>
        <v>1.3810763763788549E-3</v>
      </c>
      <c r="G58" s="100">
        <f>G13</f>
        <v>5.0278119856252887</v>
      </c>
      <c r="H58" s="100">
        <f>G14</f>
        <v>-0.84982760506405874</v>
      </c>
      <c r="I58" s="97">
        <f>G15</f>
        <v>1.1388292856591227E-3</v>
      </c>
    </row>
    <row r="59" spans="1:9">
      <c r="A59" s="65">
        <v>26</v>
      </c>
      <c r="B59" s="98">
        <v>15</v>
      </c>
      <c r="C59" s="99">
        <v>51</v>
      </c>
      <c r="D59" s="100">
        <f>C16</f>
        <v>1.325666667661733</v>
      </c>
      <c r="E59" s="100">
        <f>C17</f>
        <v>1.2897046118424018</v>
      </c>
      <c r="F59" s="97">
        <f>C18</f>
        <v>3.2126538430354061E-2</v>
      </c>
      <c r="G59" s="100">
        <f>C19</f>
        <v>2.8563165343284003</v>
      </c>
      <c r="H59" s="100">
        <f>C20</f>
        <v>1.5306498666666672</v>
      </c>
      <c r="I59" s="97">
        <f>C21</f>
        <v>8.351282605501836E-3</v>
      </c>
    </row>
    <row r="60" spans="1:9">
      <c r="A60" s="65">
        <v>26</v>
      </c>
      <c r="B60" s="98">
        <v>15</v>
      </c>
      <c r="C60" s="99">
        <v>52</v>
      </c>
      <c r="D60" s="100">
        <f>D16</f>
        <v>45.193833341484677</v>
      </c>
      <c r="E60" s="100">
        <f>D17</f>
        <v>-0.77359657831749706</v>
      </c>
      <c r="F60" s="97">
        <f>D18</f>
        <v>0.88351656973243364</v>
      </c>
      <c r="G60" s="100">
        <f>D19</f>
        <v>51.839925122067939</v>
      </c>
      <c r="H60" s="100">
        <f>D20</f>
        <v>14.70574919008393</v>
      </c>
      <c r="I60" s="97">
        <f>D21</f>
        <v>0.25808187753532441</v>
      </c>
    </row>
    <row r="61" spans="1:9">
      <c r="A61" s="65">
        <v>26</v>
      </c>
      <c r="B61" s="98">
        <v>15</v>
      </c>
      <c r="C61" s="99">
        <v>54</v>
      </c>
      <c r="D61" s="100">
        <f>E16</f>
        <v>83.099562528405983</v>
      </c>
      <c r="E61" s="100">
        <f>E17</f>
        <v>5.400429466794793</v>
      </c>
      <c r="F61" s="97">
        <f>E18</f>
        <v>0.14766643548270875</v>
      </c>
      <c r="G61" s="100">
        <f>E19</f>
        <v>89.760645535468981</v>
      </c>
      <c r="H61" s="100">
        <f>E20</f>
        <v>6.6610830070629987</v>
      </c>
      <c r="I61" s="97">
        <f>E21</f>
        <v>1.7771048318645465E-2</v>
      </c>
    </row>
    <row r="62" spans="1:9">
      <c r="A62" s="65">
        <v>26</v>
      </c>
      <c r="B62" s="98">
        <v>15</v>
      </c>
      <c r="C62" s="101">
        <v>55</v>
      </c>
      <c r="D62" s="102">
        <f>F16</f>
        <v>73.468051408184095</v>
      </c>
      <c r="E62" s="100">
        <f>F17</f>
        <v>5.400429466794793</v>
      </c>
      <c r="F62" s="97">
        <f>F18</f>
        <v>0.14766643548270875</v>
      </c>
      <c r="G62" s="100">
        <f>F19</f>
        <v>78.182938027999924</v>
      </c>
      <c r="H62" s="100">
        <f>F20</f>
        <v>6.4176012966782059</v>
      </c>
      <c r="I62" s="97">
        <f>F21</f>
        <v>0.18987410971176399</v>
      </c>
    </row>
    <row r="63" spans="1:9">
      <c r="A63" s="65">
        <v>26</v>
      </c>
      <c r="B63" s="98">
        <v>15</v>
      </c>
      <c r="C63" s="101">
        <v>56</v>
      </c>
      <c r="D63" s="102">
        <f>G16</f>
        <v>3.1128337419352703</v>
      </c>
      <c r="E63" s="100">
        <f>G17</f>
        <v>0.24680246815776402</v>
      </c>
      <c r="F63" s="97">
        <f>G18</f>
        <v>0.27031480679832698</v>
      </c>
      <c r="G63" s="100">
        <f>G19</f>
        <v>3.1569058149565805</v>
      </c>
      <c r="H63" s="100">
        <f>G20</f>
        <v>4.4072073021310221E-2</v>
      </c>
      <c r="I63" s="97">
        <f>G21</f>
        <v>0.83125159467797316</v>
      </c>
    </row>
    <row r="64" spans="1:9">
      <c r="A64" s="65">
        <v>26</v>
      </c>
      <c r="B64" s="98">
        <v>16</v>
      </c>
      <c r="C64" s="99">
        <v>51</v>
      </c>
      <c r="D64" s="100">
        <f>C22</f>
        <v>-4.1727095955810025</v>
      </c>
      <c r="E64" s="103">
        <f>C23</f>
        <v>0.14098964121859814</v>
      </c>
      <c r="F64" s="104">
        <f>C24</f>
        <v>0.77171479410613353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125.5181666787569</v>
      </c>
      <c r="E65" s="103">
        <f>D23</f>
        <v>0.12413424048384777</v>
      </c>
      <c r="F65" s="104">
        <f>D24</f>
        <v>0.98736893840947415</v>
      </c>
      <c r="G65" s="100">
        <f>D25</f>
        <v>146.89769221681431</v>
      </c>
      <c r="H65" s="100">
        <f>D26</f>
        <v>17.033012912604743</v>
      </c>
      <c r="I65" s="97">
        <f>D27</f>
        <v>4.5430933033750509E-2</v>
      </c>
    </row>
    <row r="66" spans="1:9">
      <c r="A66" s="65">
        <v>26</v>
      </c>
      <c r="B66" s="98">
        <v>16</v>
      </c>
      <c r="C66" s="99">
        <v>54</v>
      </c>
      <c r="D66" s="100">
        <f>E22</f>
        <v>84.593771062187187</v>
      </c>
      <c r="E66" s="103">
        <f>E23</f>
        <v>-0.56332929383673713</v>
      </c>
      <c r="F66" s="104">
        <f>E24</f>
        <v>0.34195980351984689</v>
      </c>
      <c r="G66" s="100">
        <f>E25</f>
        <v>90.567018459583778</v>
      </c>
      <c r="H66" s="100">
        <f>E26</f>
        <v>5.9732473973965909</v>
      </c>
      <c r="I66" s="97">
        <f>E27</f>
        <v>3.2356491965386903E-2</v>
      </c>
    </row>
    <row r="67" spans="1:9">
      <c r="A67" s="65">
        <v>26</v>
      </c>
      <c r="B67" s="98">
        <v>16</v>
      </c>
      <c r="C67" s="101">
        <v>55</v>
      </c>
      <c r="D67" s="105">
        <f>F22</f>
        <v>97.509413355464247</v>
      </c>
      <c r="E67" s="106">
        <f>F23</f>
        <v>-0.56332929383673713</v>
      </c>
      <c r="F67" s="107">
        <f>F24</f>
        <v>0.34195980351984689</v>
      </c>
      <c r="G67" s="100">
        <f>F25</f>
        <v>97.241308128358611</v>
      </c>
      <c r="H67" s="100">
        <f>F26</f>
        <v>-0.27495317413948378</v>
      </c>
      <c r="I67" s="97">
        <f>F27</f>
        <v>0.6982471751592082</v>
      </c>
    </row>
    <row r="68" spans="1:9">
      <c r="A68" s="65">
        <v>26</v>
      </c>
      <c r="B68" s="98">
        <v>16</v>
      </c>
      <c r="C68" s="101">
        <v>56</v>
      </c>
      <c r="D68" s="108">
        <f>G22</f>
        <v>23.90037280476778</v>
      </c>
      <c r="E68" s="100">
        <f>G23</f>
        <v>0.18478732951439186</v>
      </c>
      <c r="F68" s="97">
        <f>G24</f>
        <v>0.83371905680627689</v>
      </c>
      <c r="G68" s="100">
        <f>G25</f>
        <v>21.142166977261482</v>
      </c>
      <c r="H68" s="100">
        <f>G23</f>
        <v>0.18478732951439186</v>
      </c>
      <c r="I68" s="97">
        <f>G24</f>
        <v>0.83371905680627689</v>
      </c>
    </row>
    <row r="69" spans="1:9">
      <c r="A69" s="65">
        <v>26</v>
      </c>
      <c r="B69" s="98">
        <v>17</v>
      </c>
      <c r="C69" s="99">
        <v>51</v>
      </c>
      <c r="D69" s="100">
        <f>C28</f>
        <v>8.4976808051624015</v>
      </c>
      <c r="E69" s="103">
        <f>C29</f>
        <v>0.46261406950118439</v>
      </c>
      <c r="F69" s="104">
        <f>C30</f>
        <v>0.10862693940250945</v>
      </c>
      <c r="G69" s="100">
        <f>C31</f>
        <v>9.3606369718290683</v>
      </c>
      <c r="H69" s="100">
        <f>C32</f>
        <v>0.86295616666666675</v>
      </c>
      <c r="I69" s="97">
        <f>C33</f>
        <v>3.790370119244834E-3</v>
      </c>
    </row>
    <row r="70" spans="1:9">
      <c r="A70" s="65">
        <v>26</v>
      </c>
      <c r="B70" s="98">
        <v>17</v>
      </c>
      <c r="C70" s="99">
        <v>52</v>
      </c>
      <c r="D70" s="100">
        <f>D28</f>
        <v>120.1671666687789</v>
      </c>
      <c r="E70" s="103">
        <f>D29</f>
        <v>2.1586763104340183</v>
      </c>
      <c r="F70" s="104">
        <f>D30</f>
        <v>0.77521084463690926</v>
      </c>
      <c r="G70" s="100">
        <f>D31</f>
        <v>114.8032567820658</v>
      </c>
      <c r="H70" s="100">
        <f>D32</f>
        <v>-4.4637067140792661</v>
      </c>
      <c r="I70" s="97">
        <f>D33</f>
        <v>0.52646429119722882</v>
      </c>
    </row>
    <row r="71" spans="1:9">
      <c r="A71" s="65">
        <v>26</v>
      </c>
      <c r="B71" s="98">
        <v>17</v>
      </c>
      <c r="C71" s="99">
        <v>54</v>
      </c>
      <c r="D71" s="100">
        <f>E28</f>
        <v>96.83310800905457</v>
      </c>
      <c r="E71" s="103">
        <f>E29</f>
        <v>3.7460423683930419E-2</v>
      </c>
      <c r="F71" s="104">
        <f>E30</f>
        <v>0.95094333303749934</v>
      </c>
      <c r="G71" s="100">
        <f>E31</f>
        <v>93.315548747667947</v>
      </c>
      <c r="H71" s="100">
        <f>E32</f>
        <v>-3.5175592613866229</v>
      </c>
      <c r="I71" s="97">
        <f>E33</f>
        <v>2.237182208396564E-2</v>
      </c>
    </row>
    <row r="72" spans="1:9">
      <c r="A72" s="65">
        <v>26</v>
      </c>
      <c r="B72" s="98">
        <v>17</v>
      </c>
      <c r="C72" s="101">
        <v>55</v>
      </c>
      <c r="D72" s="105">
        <f>F28</f>
        <v>97.436205437927512</v>
      </c>
      <c r="E72" s="106">
        <f>F29</f>
        <v>3.7460423683930419E-2</v>
      </c>
      <c r="F72" s="107">
        <f>F30</f>
        <v>0.95094333303749934</v>
      </c>
      <c r="G72" s="100">
        <f>F31</f>
        <v>97.504622537424652</v>
      </c>
      <c r="H72" s="100">
        <f>F32</f>
        <v>7.0217327521768527E-2</v>
      </c>
      <c r="I72" s="97">
        <f>F33</f>
        <v>0.89561128629886466</v>
      </c>
    </row>
    <row r="73" spans="1:9">
      <c r="A73" s="65">
        <v>26</v>
      </c>
      <c r="B73" s="98">
        <v>17</v>
      </c>
      <c r="C73" s="101">
        <v>56</v>
      </c>
      <c r="D73" s="108">
        <f>G28</f>
        <v>33.964893946009795</v>
      </c>
      <c r="E73" s="100">
        <f>G29</f>
        <v>0.21987402549816432</v>
      </c>
      <c r="F73" s="97">
        <f>G30</f>
        <v>0.55741534652412672</v>
      </c>
      <c r="G73" s="100">
        <f>G31</f>
        <v>31.063497509546611</v>
      </c>
      <c r="H73" s="100">
        <f>G32</f>
        <v>-2.9013964364631839</v>
      </c>
      <c r="I73" s="97">
        <f>G33</f>
        <v>8.6118194586538198E-5</v>
      </c>
    </row>
    <row r="74" spans="1:9">
      <c r="A74" s="65">
        <v>26</v>
      </c>
      <c r="B74" s="98">
        <v>18</v>
      </c>
      <c r="C74" s="99">
        <v>51</v>
      </c>
      <c r="D74" s="100">
        <f>C34</f>
        <v>19.599388890972843</v>
      </c>
      <c r="E74" s="103">
        <f>C35</f>
        <v>0.38890001484172126</v>
      </c>
      <c r="F74" s="104">
        <f>C36</f>
        <v>0.31685111936389843</v>
      </c>
      <c r="G74" s="100">
        <f>C37</f>
        <v>20.719996724306167</v>
      </c>
      <c r="H74" s="100">
        <f>C38</f>
        <v>1.1206078333333238</v>
      </c>
      <c r="I74" s="97">
        <f>C39</f>
        <v>3.4976451631648152E-3</v>
      </c>
    </row>
    <row r="75" spans="1:9">
      <c r="A75" s="65">
        <v>26</v>
      </c>
      <c r="B75" s="98">
        <v>18</v>
      </c>
      <c r="C75" s="99">
        <v>52</v>
      </c>
      <c r="D75" s="100">
        <f>D34</f>
        <v>63.245777773542549</v>
      </c>
      <c r="E75" s="103">
        <f>D35</f>
        <v>-2.2914423474483292</v>
      </c>
      <c r="F75" s="104">
        <f>D36</f>
        <v>0.70647762936021219</v>
      </c>
      <c r="G75" s="100">
        <f>D37</f>
        <v>68.885086157413085</v>
      </c>
      <c r="H75" s="100">
        <f>D38</f>
        <v>8.9164978001576802</v>
      </c>
      <c r="I75" s="97">
        <f>D39</f>
        <v>0.4894672997797862</v>
      </c>
    </row>
    <row r="76" spans="1:9">
      <c r="A76" s="65">
        <v>26</v>
      </c>
      <c r="B76" s="98">
        <v>18</v>
      </c>
      <c r="C76" s="99">
        <v>54</v>
      </c>
      <c r="D76" s="100">
        <f>E34</f>
        <v>83.710722206976328</v>
      </c>
      <c r="E76" s="103">
        <f>E35</f>
        <v>0.68496022006778523</v>
      </c>
      <c r="F76" s="104">
        <f>E36</f>
        <v>0.75559258430274889</v>
      </c>
      <c r="G76" s="100">
        <f>E37</f>
        <v>78.073069069132615</v>
      </c>
      <c r="H76" s="100">
        <f>E38</f>
        <v>-5.6376531378437136</v>
      </c>
      <c r="I76" s="97">
        <f>E39</f>
        <v>1.0857870992726174E-2</v>
      </c>
    </row>
    <row r="77" spans="1:9">
      <c r="A77" s="65">
        <v>26</v>
      </c>
      <c r="B77" s="98">
        <v>18</v>
      </c>
      <c r="C77" s="101">
        <v>55</v>
      </c>
      <c r="D77" s="105">
        <f>F34</f>
        <v>85.995618336677254</v>
      </c>
      <c r="E77" s="106">
        <f>F35</f>
        <v>0.68496022006778523</v>
      </c>
      <c r="F77" s="107">
        <f>F36</f>
        <v>0.75559258430274889</v>
      </c>
      <c r="G77" s="100">
        <f>F37</f>
        <v>81.346173874429866</v>
      </c>
      <c r="H77" s="100">
        <f>F38</f>
        <v>-5.4066062343369286</v>
      </c>
      <c r="I77" s="97">
        <f>F39</f>
        <v>0.31967325196170016</v>
      </c>
    </row>
    <row r="78" spans="1:9">
      <c r="A78" s="65">
        <v>26</v>
      </c>
      <c r="B78" s="98">
        <v>18</v>
      </c>
      <c r="C78" s="101">
        <v>56</v>
      </c>
      <c r="D78" s="108">
        <f>G34</f>
        <v>6.4343854252248009</v>
      </c>
      <c r="E78" s="100">
        <f>G35</f>
        <v>-0.2649206816735849</v>
      </c>
      <c r="F78" s="97">
        <f>G36</f>
        <v>0.33686959173991982</v>
      </c>
      <c r="G78" s="100">
        <f>G37</f>
        <v>5.4171992812425209</v>
      </c>
      <c r="H78" s="100">
        <f>G38</f>
        <v>-1.01718614398228</v>
      </c>
      <c r="I78" s="97">
        <f>G39</f>
        <v>6.3674382264621637E-3</v>
      </c>
    </row>
    <row r="79" spans="1:9">
      <c r="A79" s="65">
        <v>26</v>
      </c>
      <c r="B79" s="98">
        <v>19</v>
      </c>
      <c r="C79" s="99">
        <v>51</v>
      </c>
      <c r="D79" s="100">
        <f>C40</f>
        <v>21.682616491796296</v>
      </c>
      <c r="E79" s="103">
        <f>C41</f>
        <v>0.83674932230486387</v>
      </c>
      <c r="F79" s="104">
        <f>C42</f>
        <v>3.3839146417390518E-2</v>
      </c>
      <c r="G79" s="100">
        <f>C43</f>
        <v>22.584094658462966</v>
      </c>
      <c r="H79" s="100">
        <f>C44</f>
        <v>0.90147816666667069</v>
      </c>
      <c r="I79" s="97">
        <f>C45</f>
        <v>2.9457122906364923E-2</v>
      </c>
    </row>
    <row r="80" spans="1:9">
      <c r="A80" s="65">
        <v>26</v>
      </c>
      <c r="B80" s="98">
        <v>19</v>
      </c>
      <c r="C80" s="99">
        <v>52</v>
      </c>
      <c r="D80" s="100">
        <f>D40</f>
        <v>59.642111121333301</v>
      </c>
      <c r="E80" s="100">
        <f>D41</f>
        <v>1.3650129943326328</v>
      </c>
      <c r="F80" s="104">
        <f>D42</f>
        <v>0.83682622351986025</v>
      </c>
      <c r="G80" s="100">
        <f>D43</f>
        <v>57.78843026374463</v>
      </c>
      <c r="H80" s="100">
        <f>D44</f>
        <v>-3.1080067803395188</v>
      </c>
      <c r="I80" s="97">
        <f>D45</f>
        <v>0.86254495056350555</v>
      </c>
    </row>
    <row r="81" spans="1:9">
      <c r="A81" s="65">
        <v>26</v>
      </c>
      <c r="B81" s="98">
        <v>19</v>
      </c>
      <c r="C81" s="99">
        <v>54</v>
      </c>
      <c r="D81" s="100">
        <f>E40</f>
        <v>95.139765602352469</v>
      </c>
      <c r="E81" s="103">
        <f>E41</f>
        <v>-0.5465466931875087</v>
      </c>
      <c r="F81" s="104">
        <f>E42</f>
        <v>0.84051585776677351</v>
      </c>
      <c r="G81" s="100">
        <f>E43</f>
        <v>97.320474148666406</v>
      </c>
      <c r="H81" s="100">
        <f>E44</f>
        <v>2.1807085463139373</v>
      </c>
      <c r="I81" s="97">
        <f>E45</f>
        <v>6.232625112803216E-2</v>
      </c>
    </row>
    <row r="82" spans="1:9">
      <c r="A82" s="65">
        <v>26</v>
      </c>
      <c r="B82" s="98">
        <v>19</v>
      </c>
      <c r="C82" s="101">
        <v>55</v>
      </c>
      <c r="D82" s="105">
        <f>F40</f>
        <v>83.104605850541788</v>
      </c>
      <c r="E82" s="106">
        <f>F41</f>
        <v>-0.5465466931875087</v>
      </c>
      <c r="F82" s="107">
        <f>F42</f>
        <v>0.84051585776677351</v>
      </c>
      <c r="G82" s="100">
        <f>F43</f>
        <v>84.198077470322801</v>
      </c>
      <c r="H82" s="100">
        <f>F44</f>
        <v>1.3157773971608144</v>
      </c>
      <c r="I82" s="97">
        <f>F45</f>
        <v>0.82619990835191293</v>
      </c>
    </row>
    <row r="83" spans="1:9">
      <c r="A83" s="65">
        <v>26</v>
      </c>
      <c r="B83" s="98">
        <v>19</v>
      </c>
      <c r="C83" s="101">
        <v>56</v>
      </c>
      <c r="D83" s="108">
        <f>G40</f>
        <v>5.5376094630382866</v>
      </c>
      <c r="E83" s="106">
        <f>G41</f>
        <v>-0.1492741896768765</v>
      </c>
      <c r="F83" s="109">
        <f>G42</f>
        <v>0.45591347787353287</v>
      </c>
      <c r="G83" s="100">
        <f>G43</f>
        <v>5.5719477913309916</v>
      </c>
      <c r="H83" s="100">
        <f>G44</f>
        <v>3.4338328292705E-2</v>
      </c>
      <c r="I83" s="97">
        <f>G45</f>
        <v>0.91734153001809338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4"/>
  <dimension ref="A1:O83"/>
  <sheetViews>
    <sheetView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1" width="9.28515625" style="27" bestFit="1" customWidth="1"/>
    <col min="12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18.345770608413179</v>
      </c>
      <c r="D4" s="31">
        <v>174.82777767829188</v>
      </c>
      <c r="E4" s="30">
        <v>97.85043295929384</v>
      </c>
      <c r="F4" s="30">
        <v>96.48048685882317</v>
      </c>
      <c r="G4" s="130">
        <v>6.6107887973742256</v>
      </c>
    </row>
    <row r="5" spans="1:8" ht="18.75">
      <c r="A5" s="178"/>
      <c r="B5" s="21" t="s">
        <v>17</v>
      </c>
      <c r="C5" s="131">
        <v>0.758311422279484</v>
      </c>
      <c r="D5" s="33">
        <v>22.766629436137315</v>
      </c>
      <c r="E5" s="34">
        <v>-2.2979615438559584</v>
      </c>
      <c r="F5" s="34">
        <v>-2.2979615438559584</v>
      </c>
      <c r="G5" s="132">
        <v>-0.24701778615074996</v>
      </c>
    </row>
    <row r="6" spans="1:8">
      <c r="A6" s="178"/>
      <c r="B6" s="22" t="s">
        <v>18</v>
      </c>
      <c r="C6" s="133">
        <v>1.001904108064904E-4</v>
      </c>
      <c r="D6" s="37">
        <v>3.4929015632701274E-2</v>
      </c>
      <c r="E6" s="37">
        <v>1.2281044022796896E-2</v>
      </c>
      <c r="F6" s="37">
        <v>1.2281044022796896E-2</v>
      </c>
      <c r="G6" s="134">
        <v>1.8321655730081886E-3</v>
      </c>
    </row>
    <row r="7" spans="1:8" ht="18.75">
      <c r="A7" s="178"/>
      <c r="B7" s="23" t="s">
        <v>19</v>
      </c>
      <c r="C7" s="78">
        <v>19.18673835841318</v>
      </c>
      <c r="D7" s="38">
        <v>177.68998299723319</v>
      </c>
      <c r="E7" s="148">
        <v>100.55558292776097</v>
      </c>
      <c r="F7" s="10">
        <v>95.837433343170929</v>
      </c>
      <c r="G7" s="113">
        <v>6.7448092897767129</v>
      </c>
    </row>
    <row r="8" spans="1:8" ht="18.75">
      <c r="A8" s="178"/>
      <c r="B8" s="21" t="s">
        <v>20</v>
      </c>
      <c r="C8" s="135">
        <v>0.84096775000000079</v>
      </c>
      <c r="D8" s="40">
        <v>1.6371570679163849</v>
      </c>
      <c r="E8" s="136">
        <v>2.7051499684671256</v>
      </c>
      <c r="F8" s="10">
        <v>-0.66651147458781568</v>
      </c>
      <c r="G8" s="137">
        <v>0.13402049240248726</v>
      </c>
    </row>
    <row r="9" spans="1:8" ht="16.5" thickBot="1">
      <c r="A9" s="179"/>
      <c r="B9" s="25" t="s">
        <v>21</v>
      </c>
      <c r="C9" s="146">
        <v>1.5409219312095092E-3</v>
      </c>
      <c r="D9" s="139">
        <v>0.82995981189541634</v>
      </c>
      <c r="E9" s="147">
        <v>8.0878083806218398E-3</v>
      </c>
      <c r="F9" s="47">
        <v>0.6914558622016862</v>
      </c>
      <c r="G9" s="141">
        <v>0.29128156490568291</v>
      </c>
    </row>
    <row r="10" spans="1:8" ht="18.75">
      <c r="A10" s="180" t="s">
        <v>2</v>
      </c>
      <c r="B10" s="20" t="s">
        <v>16</v>
      </c>
      <c r="C10" s="129">
        <v>10.887601253695456</v>
      </c>
      <c r="D10" s="31">
        <v>116.85688888374717</v>
      </c>
      <c r="E10" s="30">
        <v>94.813587905809968</v>
      </c>
      <c r="F10" s="30">
        <v>92.854781715024032</v>
      </c>
      <c r="G10" s="130">
        <v>6.1561481571509944</v>
      </c>
    </row>
    <row r="11" spans="1:8" ht="18.75">
      <c r="A11" s="178"/>
      <c r="B11" s="21" t="s">
        <v>17</v>
      </c>
      <c r="C11" s="131">
        <v>-0.12672774998872202</v>
      </c>
      <c r="D11" s="34">
        <v>13.67813126444071</v>
      </c>
      <c r="E11" s="34">
        <v>1.8922190119833837</v>
      </c>
      <c r="F11" s="34">
        <v>1.8922190119833837</v>
      </c>
      <c r="G11" s="132">
        <v>9.6835212550619651E-2</v>
      </c>
    </row>
    <row r="12" spans="1:8">
      <c r="A12" s="178"/>
      <c r="B12" s="22" t="s">
        <v>18</v>
      </c>
      <c r="C12" s="133">
        <v>0.55364626100388992</v>
      </c>
      <c r="D12" s="37">
        <v>0.14627712990391184</v>
      </c>
      <c r="E12" s="37">
        <v>0.28120934209814452</v>
      </c>
      <c r="F12" s="37">
        <v>0.28120934209814452</v>
      </c>
      <c r="G12" s="134">
        <v>0.40658398596053758</v>
      </c>
    </row>
    <row r="13" spans="1:8" ht="18.75">
      <c r="A13" s="178"/>
      <c r="B13" s="23" t="s">
        <v>19</v>
      </c>
      <c r="C13" s="78">
        <v>12.255956470362126</v>
      </c>
      <c r="D13" s="38">
        <v>125.4911917245869</v>
      </c>
      <c r="E13" s="112">
        <v>99.144781598122336</v>
      </c>
      <c r="F13" s="10">
        <v>93.892893430735924</v>
      </c>
      <c r="G13" s="113">
        <v>6.5083901241885833</v>
      </c>
    </row>
    <row r="14" spans="1:8" ht="18.75">
      <c r="A14" s="178"/>
      <c r="B14" s="21" t="s">
        <v>20</v>
      </c>
      <c r="C14" s="135">
        <v>1.3683552166666697</v>
      </c>
      <c r="D14" s="10">
        <v>7.3887837707449142</v>
      </c>
      <c r="E14" s="11">
        <v>4.3311936923123682</v>
      </c>
      <c r="F14" s="10">
        <v>1.1179948910955464</v>
      </c>
      <c r="G14" s="137">
        <v>0.35224196703758892</v>
      </c>
    </row>
    <row r="15" spans="1:8" ht="16.5" thickBot="1">
      <c r="A15" s="181"/>
      <c r="B15" s="26" t="s">
        <v>21</v>
      </c>
      <c r="C15" s="149">
        <v>1.7970288831586912E-5</v>
      </c>
      <c r="D15" s="48">
        <v>0.40713866063719917</v>
      </c>
      <c r="E15" s="121">
        <v>1.1943382838255855E-4</v>
      </c>
      <c r="F15" s="43">
        <v>0.50867289781628111</v>
      </c>
      <c r="G15" s="143">
        <v>1.0530729833497298E-2</v>
      </c>
    </row>
    <row r="16" spans="1:8" ht="18.75">
      <c r="A16" s="177" t="s">
        <v>3</v>
      </c>
      <c r="B16" s="24" t="s">
        <v>16</v>
      </c>
      <c r="C16" s="144">
        <v>2.953296297725152</v>
      </c>
      <c r="D16" s="45">
        <v>44.573555547143854</v>
      </c>
      <c r="E16" s="44">
        <v>90.430826563865423</v>
      </c>
      <c r="F16" s="44">
        <v>74.93520858685477</v>
      </c>
      <c r="G16" s="145">
        <v>3.3823051937070061</v>
      </c>
    </row>
    <row r="17" spans="1:7" ht="18.75">
      <c r="A17" s="178"/>
      <c r="B17" s="21" t="s">
        <v>17</v>
      </c>
      <c r="C17" s="131">
        <v>1.0660289229932189</v>
      </c>
      <c r="D17" s="34">
        <v>4.550760089857989</v>
      </c>
      <c r="E17" s="34">
        <v>4.3144406656416372</v>
      </c>
      <c r="F17" s="34">
        <v>4.3144406656416372</v>
      </c>
      <c r="G17" s="132">
        <v>0.26743694479181185</v>
      </c>
    </row>
    <row r="18" spans="1:7">
      <c r="A18" s="178"/>
      <c r="B18" s="22" t="s">
        <v>18</v>
      </c>
      <c r="C18" s="133">
        <v>4.8442112516643085E-2</v>
      </c>
      <c r="D18" s="37">
        <v>0.30278106245551306</v>
      </c>
      <c r="E18" s="37">
        <v>0.15194824311431243</v>
      </c>
      <c r="F18" s="37">
        <v>0.15194824311431243</v>
      </c>
      <c r="G18" s="134">
        <v>0.10015577761098937</v>
      </c>
    </row>
    <row r="19" spans="1:7" ht="18.75">
      <c r="A19" s="178"/>
      <c r="B19" s="23" t="s">
        <v>19</v>
      </c>
      <c r="C19" s="78">
        <v>4.1174096310584858</v>
      </c>
      <c r="D19" s="38">
        <v>42.07035992072413</v>
      </c>
      <c r="E19" s="112">
        <v>90.775765106319469</v>
      </c>
      <c r="F19" s="10">
        <v>73.820451043865489</v>
      </c>
      <c r="G19" s="113">
        <v>3.3479834007697407</v>
      </c>
    </row>
    <row r="20" spans="1:7" ht="18.75">
      <c r="A20" s="178"/>
      <c r="B20" s="21" t="s">
        <v>20</v>
      </c>
      <c r="C20" s="135">
        <v>1.1641133333333338</v>
      </c>
      <c r="D20" s="10">
        <v>-5.6158760406092956</v>
      </c>
      <c r="E20" s="11">
        <v>0.3449385424540452</v>
      </c>
      <c r="F20" s="10">
        <v>-1.487628531382821</v>
      </c>
      <c r="G20" s="137">
        <v>-3.432179293726545E-2</v>
      </c>
    </row>
    <row r="21" spans="1:7" ht="16.5" thickBot="1">
      <c r="A21" s="179"/>
      <c r="B21" s="25" t="s">
        <v>21</v>
      </c>
      <c r="C21" s="146">
        <v>2.0137456749100724E-2</v>
      </c>
      <c r="D21" s="46">
        <v>0.51595669429605995</v>
      </c>
      <c r="E21" s="89">
        <v>0.83812964158251502</v>
      </c>
      <c r="F21" s="47">
        <v>0.55298399871594239</v>
      </c>
      <c r="G21" s="141">
        <v>0.79554491967922714</v>
      </c>
    </row>
    <row r="22" spans="1:7" ht="18.75">
      <c r="A22" s="180" t="s">
        <v>4</v>
      </c>
      <c r="B22" s="20" t="s">
        <v>16</v>
      </c>
      <c r="C22" s="129">
        <v>-1.937070084173804</v>
      </c>
      <c r="D22" s="31">
        <v>117.63311114009055</v>
      </c>
      <c r="E22" s="30">
        <v>93.186966227408234</v>
      </c>
      <c r="F22" s="30">
        <v>97.541618471954862</v>
      </c>
      <c r="G22" s="130">
        <v>26.366893415619298</v>
      </c>
    </row>
    <row r="23" spans="1:7" ht="18.75">
      <c r="A23" s="178"/>
      <c r="B23" s="21" t="s">
        <v>17</v>
      </c>
      <c r="C23" s="131">
        <v>0.3889566827480827</v>
      </c>
      <c r="D23" s="34">
        <v>8.7585095051174573</v>
      </c>
      <c r="E23" s="34">
        <v>0.60065707874936702</v>
      </c>
      <c r="F23" s="34">
        <v>0.60065707874936702</v>
      </c>
      <c r="G23" s="132">
        <v>0.61059515825002408</v>
      </c>
    </row>
    <row r="24" spans="1:7">
      <c r="A24" s="178"/>
      <c r="B24" s="22" t="s">
        <v>18</v>
      </c>
      <c r="C24" s="133">
        <v>0.42504726311608176</v>
      </c>
      <c r="D24" s="37">
        <v>0.10091940210349427</v>
      </c>
      <c r="E24" s="37">
        <v>0.21483880799409816</v>
      </c>
      <c r="F24" s="37">
        <v>0.21483880799409816</v>
      </c>
      <c r="G24" s="134">
        <v>0.31396358439788041</v>
      </c>
    </row>
    <row r="25" spans="1:7" ht="18.75">
      <c r="A25" s="178"/>
      <c r="B25" s="23" t="s">
        <v>19</v>
      </c>
      <c r="C25" s="78">
        <v>-0.8063602795761029</v>
      </c>
      <c r="D25" s="38">
        <v>131.29600652124617</v>
      </c>
      <c r="E25" s="112">
        <v>90.102782541335117</v>
      </c>
      <c r="F25" s="10">
        <v>97.25959930366183</v>
      </c>
      <c r="G25" s="113">
        <v>25.416457511794963</v>
      </c>
    </row>
    <row r="26" spans="1:7" ht="18.75">
      <c r="A26" s="178"/>
      <c r="B26" s="21" t="s">
        <v>20</v>
      </c>
      <c r="C26" s="135">
        <v>1.1307098045977011</v>
      </c>
      <c r="D26" s="10">
        <v>11.61483807470189</v>
      </c>
      <c r="E26" s="11">
        <v>-3.0841836860731178</v>
      </c>
      <c r="F26" s="10">
        <v>-0.28912701338261831</v>
      </c>
      <c r="G26" s="115">
        <v>-0.95043590382433507</v>
      </c>
    </row>
    <row r="27" spans="1:7" ht="16.5" thickBot="1">
      <c r="A27" s="181"/>
      <c r="B27" s="26" t="s">
        <v>21</v>
      </c>
      <c r="C27" s="149">
        <v>1.0654681466640337E-2</v>
      </c>
      <c r="D27" s="48">
        <v>5.2340072861229332E-2</v>
      </c>
      <c r="E27" s="121">
        <v>0.10862040299514863</v>
      </c>
      <c r="F27" s="43">
        <v>0.47916178252402308</v>
      </c>
      <c r="G27" s="122">
        <v>9.8349845385640955E-2</v>
      </c>
    </row>
    <row r="28" spans="1:7" ht="18.75">
      <c r="A28" s="177" t="s">
        <v>5</v>
      </c>
      <c r="B28" s="24" t="s">
        <v>16</v>
      </c>
      <c r="C28" s="144">
        <v>8.3021511355965867</v>
      </c>
      <c r="D28" s="45">
        <v>170.29899994908945</v>
      </c>
      <c r="E28" s="44">
        <v>97.744538611880117</v>
      </c>
      <c r="F28" s="44">
        <v>99.248295659876575</v>
      </c>
      <c r="G28" s="145">
        <v>34.922139900954576</v>
      </c>
    </row>
    <row r="29" spans="1:7" ht="18.75">
      <c r="A29" s="178"/>
      <c r="B29" s="21" t="s">
        <v>17</v>
      </c>
      <c r="C29" s="131">
        <v>0.36818575859640479</v>
      </c>
      <c r="D29" s="34">
        <v>21.622803030033438</v>
      </c>
      <c r="E29" s="34">
        <v>-0.35366527670947734</v>
      </c>
      <c r="F29" s="34">
        <v>-0.35366527670947734</v>
      </c>
      <c r="G29" s="132">
        <v>-0.1709438215549394</v>
      </c>
    </row>
    <row r="30" spans="1:7">
      <c r="A30" s="178"/>
      <c r="B30" s="22" t="s">
        <v>18</v>
      </c>
      <c r="C30" s="133">
        <v>0.12686845903009802</v>
      </c>
      <c r="D30" s="37">
        <v>4.5168270695404231E-3</v>
      </c>
      <c r="E30" s="49">
        <v>7.6353645724413083E-2</v>
      </c>
      <c r="F30" s="49">
        <v>7.6353645724413083E-2</v>
      </c>
      <c r="G30" s="134">
        <v>0.48950252527063687</v>
      </c>
    </row>
    <row r="31" spans="1:7" ht="18.75">
      <c r="A31" s="178"/>
      <c r="B31" s="23" t="s">
        <v>19</v>
      </c>
      <c r="C31" s="78">
        <v>8.9338216244854785</v>
      </c>
      <c r="D31" s="38">
        <v>174.13108693819154</v>
      </c>
      <c r="E31" s="112">
        <v>94.236899960546211</v>
      </c>
      <c r="F31" s="10">
        <v>98.641126254764345</v>
      </c>
      <c r="G31" s="113">
        <v>33.468519424859558</v>
      </c>
    </row>
    <row r="32" spans="1:7" ht="18.75">
      <c r="A32" s="178"/>
      <c r="B32" s="21" t="s">
        <v>20</v>
      </c>
      <c r="C32" s="135">
        <v>0.63167048888889177</v>
      </c>
      <c r="D32" s="10">
        <v>2.2502110935752344</v>
      </c>
      <c r="E32" s="11">
        <v>-3.507638651333906</v>
      </c>
      <c r="F32" s="10">
        <v>-0.61176809241440433</v>
      </c>
      <c r="G32" s="115">
        <v>-1.4536204760950184</v>
      </c>
    </row>
    <row r="33" spans="1:15" ht="16.5" thickBot="1">
      <c r="A33" s="179"/>
      <c r="B33" s="25" t="s">
        <v>21</v>
      </c>
      <c r="C33" s="146">
        <v>1.0490642726578396E-2</v>
      </c>
      <c r="D33" s="46">
        <v>0.70589168086807097</v>
      </c>
      <c r="E33" s="117">
        <v>1.1790272770751271E-2</v>
      </c>
      <c r="F33" s="47">
        <v>0.38021135944203732</v>
      </c>
      <c r="G33" s="118">
        <v>6.0298952988376555E-3</v>
      </c>
    </row>
    <row r="34" spans="1:15" ht="18.75">
      <c r="A34" s="177" t="s">
        <v>6</v>
      </c>
      <c r="B34" s="24" t="s">
        <v>16</v>
      </c>
      <c r="C34" s="129">
        <v>16.778111108462021</v>
      </c>
      <c r="D34" s="31">
        <v>87.302444509098066</v>
      </c>
      <c r="E34" s="30">
        <v>98.357218748809103</v>
      </c>
      <c r="F34" s="30">
        <v>76.23420478321755</v>
      </c>
      <c r="G34" s="130">
        <v>6.7596398791259213</v>
      </c>
    </row>
    <row r="35" spans="1:15" ht="18.75">
      <c r="A35" s="178"/>
      <c r="B35" s="21" t="s">
        <v>17</v>
      </c>
      <c r="C35" s="131">
        <v>0.58203880765031446</v>
      </c>
      <c r="D35" s="34">
        <v>2.1308862703150018</v>
      </c>
      <c r="E35" s="34">
        <v>-1.0484229926341702</v>
      </c>
      <c r="F35" s="34">
        <v>-1.0484229926341702</v>
      </c>
      <c r="G35" s="132">
        <v>-9.5910427539940848E-2</v>
      </c>
    </row>
    <row r="36" spans="1:15">
      <c r="A36" s="178"/>
      <c r="B36" s="22" t="s">
        <v>18</v>
      </c>
      <c r="C36" s="133">
        <v>8.8030988337809372E-3</v>
      </c>
      <c r="D36" s="37">
        <v>0.75936716793427073</v>
      </c>
      <c r="E36" s="37">
        <v>0.74707168177169547</v>
      </c>
      <c r="F36" s="37">
        <v>0.74707168177169547</v>
      </c>
      <c r="G36" s="134">
        <v>0.74982745531605888</v>
      </c>
    </row>
    <row r="37" spans="1:15" ht="18.75">
      <c r="A37" s="178"/>
      <c r="B37" s="23" t="s">
        <v>19</v>
      </c>
      <c r="C37" s="78">
        <v>17.79131584179536</v>
      </c>
      <c r="D37" s="38">
        <v>92.230182757915628</v>
      </c>
      <c r="E37" s="112">
        <v>98.525914758176171</v>
      </c>
      <c r="F37" s="10">
        <v>73.06066606160978</v>
      </c>
      <c r="G37" s="113">
        <v>6.5027218524943358</v>
      </c>
    </row>
    <row r="38" spans="1:15" ht="18.75">
      <c r="A38" s="178"/>
      <c r="B38" s="21" t="s">
        <v>20</v>
      </c>
      <c r="C38" s="135">
        <v>1.0132047333333372</v>
      </c>
      <c r="D38" s="10">
        <v>5.6444447535532989</v>
      </c>
      <c r="E38" s="11">
        <v>0.16869600936706775</v>
      </c>
      <c r="F38" s="10">
        <v>-4.1628803378118402</v>
      </c>
      <c r="G38" s="115">
        <v>-0.25691802663158558</v>
      </c>
    </row>
    <row r="39" spans="1:15" ht="16.5" thickBot="1">
      <c r="A39" s="179"/>
      <c r="B39" s="25" t="s">
        <v>21</v>
      </c>
      <c r="C39" s="149">
        <v>1.9526104394765526E-3</v>
      </c>
      <c r="D39" s="48">
        <v>0.49826531568438626</v>
      </c>
      <c r="E39" s="121">
        <v>0.7717196423759467</v>
      </c>
      <c r="F39" s="43">
        <v>0.47591789462269585</v>
      </c>
      <c r="G39" s="122">
        <v>0.48080565827652555</v>
      </c>
    </row>
    <row r="40" spans="1:15" ht="18.75">
      <c r="A40" s="180" t="s">
        <v>7</v>
      </c>
      <c r="B40" s="20" t="s">
        <v>16</v>
      </c>
      <c r="C40" s="144">
        <v>18.680896057108402</v>
      </c>
      <c r="D40" s="45">
        <v>97.336888851184071</v>
      </c>
      <c r="E40" s="44">
        <v>88.154245913257284</v>
      </c>
      <c r="F40" s="44">
        <v>66.087839196016276</v>
      </c>
      <c r="G40" s="145">
        <v>4.11010625533598</v>
      </c>
    </row>
    <row r="41" spans="1:15" ht="18.75">
      <c r="A41" s="178"/>
      <c r="B41" s="21" t="s">
        <v>17</v>
      </c>
      <c r="C41" s="131">
        <v>0.87165603952549331</v>
      </c>
      <c r="D41" s="34">
        <v>13.350559822887735</v>
      </c>
      <c r="E41" s="34">
        <v>-6.3079118716400853</v>
      </c>
      <c r="F41" s="34">
        <v>-6.3079118716400853</v>
      </c>
      <c r="G41" s="132">
        <v>-0.16185421566035563</v>
      </c>
    </row>
    <row r="42" spans="1:15">
      <c r="A42" s="178"/>
      <c r="B42" s="22" t="s">
        <v>18</v>
      </c>
      <c r="C42" s="133">
        <v>1.3325971519787074E-3</v>
      </c>
      <c r="D42" s="37">
        <v>0.14058534738208639</v>
      </c>
      <c r="E42" s="49">
        <v>0.1318089865516443</v>
      </c>
      <c r="F42" s="49">
        <v>0.1318089865516443</v>
      </c>
      <c r="G42" s="134">
        <v>0.58867481078234318</v>
      </c>
    </row>
    <row r="43" spans="1:15" ht="18.75">
      <c r="A43" s="178"/>
      <c r="B43" s="23" t="s">
        <v>19</v>
      </c>
      <c r="C43" s="78">
        <v>19.158131657108402</v>
      </c>
      <c r="D43" s="38">
        <v>107.14064904102314</v>
      </c>
      <c r="E43" s="112">
        <v>91.83321530456486</v>
      </c>
      <c r="F43" s="10">
        <v>61.463356633077801</v>
      </c>
      <c r="G43" s="113">
        <v>3.9939460284353663</v>
      </c>
    </row>
    <row r="44" spans="1:15" ht="18.75">
      <c r="A44" s="178"/>
      <c r="B44" s="21" t="s">
        <v>20</v>
      </c>
      <c r="C44" s="135">
        <v>0.4772356000000002</v>
      </c>
      <c r="D44" s="10">
        <v>10.071988436807128</v>
      </c>
      <c r="E44" s="11">
        <v>3.6789693913075752</v>
      </c>
      <c r="F44" s="10">
        <v>-6.9974788390679183</v>
      </c>
      <c r="G44" s="137">
        <v>-0.11616022690061367</v>
      </c>
    </row>
    <row r="45" spans="1:15" ht="16.5" thickBot="1">
      <c r="A45" s="179"/>
      <c r="B45" s="25" t="s">
        <v>21</v>
      </c>
      <c r="C45" s="149">
        <v>0.12921150683723515</v>
      </c>
      <c r="D45" s="48">
        <v>0.32849395481488064</v>
      </c>
      <c r="E45" s="121">
        <v>9.2780965197382895E-2</v>
      </c>
      <c r="F45" s="43">
        <v>0.32527160179203629</v>
      </c>
      <c r="G45" s="143">
        <v>0.70370805394045366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18.345770608413179</v>
      </c>
      <c r="E49" s="100">
        <f>C5</f>
        <v>0.758311422279484</v>
      </c>
      <c r="F49" s="97">
        <f>C6</f>
        <v>1.001904108064904E-4</v>
      </c>
      <c r="G49" s="100">
        <f>C7</f>
        <v>19.18673835841318</v>
      </c>
      <c r="H49" s="100">
        <f>C8</f>
        <v>0.84096775000000079</v>
      </c>
      <c r="I49" s="97">
        <f>C9</f>
        <v>1.5409219312095092E-3</v>
      </c>
    </row>
    <row r="50" spans="1:9">
      <c r="A50" s="65">
        <v>26</v>
      </c>
      <c r="B50" s="98">
        <v>13</v>
      </c>
      <c r="C50" s="99">
        <v>52</v>
      </c>
      <c r="D50" s="100">
        <f>D4</f>
        <v>174.82777767829188</v>
      </c>
      <c r="E50" s="100">
        <f>D5</f>
        <v>22.766629436137315</v>
      </c>
      <c r="F50" s="97">
        <f>D6</f>
        <v>3.4929015632701274E-2</v>
      </c>
      <c r="G50" s="100">
        <f>D7</f>
        <v>177.68998299723319</v>
      </c>
      <c r="H50" s="100">
        <f>D8</f>
        <v>1.6371570679163849</v>
      </c>
      <c r="I50" s="97">
        <f>D9</f>
        <v>0.82995981189541634</v>
      </c>
    </row>
    <row r="51" spans="1:9">
      <c r="A51" s="65">
        <v>26</v>
      </c>
      <c r="B51" s="98">
        <v>13</v>
      </c>
      <c r="C51" s="99">
        <v>54</v>
      </c>
      <c r="D51" s="100">
        <f>E4</f>
        <v>97.85043295929384</v>
      </c>
      <c r="E51" s="100">
        <f>E5</f>
        <v>-2.2979615438559584</v>
      </c>
      <c r="F51" s="97">
        <f>E6</f>
        <v>1.2281044022796896E-2</v>
      </c>
      <c r="G51" s="100">
        <f>E7</f>
        <v>100.55558292776097</v>
      </c>
      <c r="H51" s="100">
        <f>E8</f>
        <v>2.7051499684671256</v>
      </c>
      <c r="I51" s="97">
        <f>E9</f>
        <v>8.0878083806218398E-3</v>
      </c>
    </row>
    <row r="52" spans="1:9">
      <c r="A52" s="65">
        <v>26</v>
      </c>
      <c r="B52" s="98">
        <v>13</v>
      </c>
      <c r="C52" s="101">
        <v>55</v>
      </c>
      <c r="D52" s="100">
        <f>F4</f>
        <v>96.48048685882317</v>
      </c>
      <c r="E52" s="100">
        <f>F5</f>
        <v>-2.2979615438559584</v>
      </c>
      <c r="F52" s="97">
        <f>F6</f>
        <v>1.2281044022796896E-2</v>
      </c>
      <c r="G52" s="100">
        <f>F7</f>
        <v>95.837433343170929</v>
      </c>
      <c r="H52" s="100">
        <f>F8</f>
        <v>-0.66651147458781568</v>
      </c>
      <c r="I52" s="97">
        <f>F9</f>
        <v>0.6914558622016862</v>
      </c>
    </row>
    <row r="53" spans="1:9">
      <c r="A53" s="65">
        <v>26</v>
      </c>
      <c r="B53" s="98">
        <v>13</v>
      </c>
      <c r="C53" s="101">
        <v>56</v>
      </c>
      <c r="D53" s="100">
        <f>G4</f>
        <v>6.6107887973742256</v>
      </c>
      <c r="E53" s="100">
        <f>G5</f>
        <v>-0.24701778615074996</v>
      </c>
      <c r="F53" s="97">
        <f>G6</f>
        <v>1.8321655730081886E-3</v>
      </c>
      <c r="G53" s="100">
        <f>G7</f>
        <v>6.7448092897767129</v>
      </c>
      <c r="H53" s="100">
        <f>G8</f>
        <v>0.13402049240248726</v>
      </c>
      <c r="I53" s="97">
        <f>G9</f>
        <v>0.29128156490568291</v>
      </c>
    </row>
    <row r="54" spans="1:9">
      <c r="A54" s="65">
        <v>26</v>
      </c>
      <c r="B54" s="98">
        <v>14</v>
      </c>
      <c r="C54" s="99">
        <v>51</v>
      </c>
      <c r="D54" s="100">
        <f>C10</f>
        <v>10.887601253695456</v>
      </c>
      <c r="E54" s="100">
        <f>C11</f>
        <v>-0.12672774998872202</v>
      </c>
      <c r="F54" s="97">
        <f>C12</f>
        <v>0.55364626100388992</v>
      </c>
      <c r="G54" s="100">
        <f>C13</f>
        <v>12.255956470362126</v>
      </c>
      <c r="H54" s="100">
        <f>C14</f>
        <v>1.3683552166666697</v>
      </c>
      <c r="I54" s="97">
        <f>C15</f>
        <v>1.7970288831586912E-5</v>
      </c>
    </row>
    <row r="55" spans="1:9">
      <c r="A55" s="65">
        <v>26</v>
      </c>
      <c r="B55" s="98">
        <v>14</v>
      </c>
      <c r="C55" s="99">
        <v>52</v>
      </c>
      <c r="D55" s="100">
        <f>D10</f>
        <v>116.85688888374717</v>
      </c>
      <c r="E55" s="100">
        <f>D11</f>
        <v>13.67813126444071</v>
      </c>
      <c r="F55" s="97">
        <f>D12</f>
        <v>0.14627712990391184</v>
      </c>
      <c r="G55" s="100">
        <f>D13</f>
        <v>125.4911917245869</v>
      </c>
      <c r="H55" s="100">
        <f>D14</f>
        <v>7.3887837707449142</v>
      </c>
      <c r="I55" s="97">
        <f>D15</f>
        <v>0.40713866063719917</v>
      </c>
    </row>
    <row r="56" spans="1:9">
      <c r="A56" s="65">
        <v>26</v>
      </c>
      <c r="B56" s="98">
        <v>14</v>
      </c>
      <c r="C56" s="99">
        <v>54</v>
      </c>
      <c r="D56" s="100">
        <f>E10</f>
        <v>94.813587905809968</v>
      </c>
      <c r="E56" s="100">
        <f>E11</f>
        <v>1.8922190119833837</v>
      </c>
      <c r="F56" s="97">
        <f>E12</f>
        <v>0.28120934209814452</v>
      </c>
      <c r="G56" s="100">
        <f>E13</f>
        <v>99.144781598122336</v>
      </c>
      <c r="H56" s="100">
        <f>E14</f>
        <v>4.3311936923123682</v>
      </c>
      <c r="I56" s="97">
        <f>E15</f>
        <v>1.1943382838255855E-4</v>
      </c>
    </row>
    <row r="57" spans="1:9">
      <c r="A57" s="65">
        <v>26</v>
      </c>
      <c r="B57" s="98">
        <v>14</v>
      </c>
      <c r="C57" s="101">
        <v>55</v>
      </c>
      <c r="D57" s="100">
        <f>F10</f>
        <v>92.854781715024032</v>
      </c>
      <c r="E57" s="100">
        <f>F11</f>
        <v>1.8922190119833837</v>
      </c>
      <c r="F57" s="97">
        <f>F12</f>
        <v>0.28120934209814452</v>
      </c>
      <c r="G57" s="100">
        <f>F13</f>
        <v>93.892893430735924</v>
      </c>
      <c r="H57" s="100">
        <f>F14</f>
        <v>1.1179948910955464</v>
      </c>
      <c r="I57" s="97">
        <f>F15</f>
        <v>0.50867289781628111</v>
      </c>
    </row>
    <row r="58" spans="1:9">
      <c r="A58" s="65">
        <v>26</v>
      </c>
      <c r="B58" s="98">
        <v>14</v>
      </c>
      <c r="C58" s="101">
        <v>56</v>
      </c>
      <c r="D58" s="100">
        <f>G10</f>
        <v>6.1561481571509944</v>
      </c>
      <c r="E58" s="100">
        <f>G11</f>
        <v>9.6835212550619651E-2</v>
      </c>
      <c r="F58" s="97">
        <f>G12</f>
        <v>0.40658398596053758</v>
      </c>
      <c r="G58" s="100">
        <f>G13</f>
        <v>6.5083901241885833</v>
      </c>
      <c r="H58" s="100">
        <f>G14</f>
        <v>0.35224196703758892</v>
      </c>
      <c r="I58" s="97">
        <f>G15</f>
        <v>1.0530729833497298E-2</v>
      </c>
    </row>
    <row r="59" spans="1:9">
      <c r="A59" s="65">
        <v>26</v>
      </c>
      <c r="B59" s="98">
        <v>15</v>
      </c>
      <c r="C59" s="99">
        <v>51</v>
      </c>
      <c r="D59" s="100">
        <f>C16</f>
        <v>2.953296297725152</v>
      </c>
      <c r="E59" s="100">
        <f>C17</f>
        <v>1.0660289229932189</v>
      </c>
      <c r="F59" s="97">
        <f>C18</f>
        <v>4.8442112516643085E-2</v>
      </c>
      <c r="G59" s="100">
        <f>C19</f>
        <v>4.1174096310584858</v>
      </c>
      <c r="H59" s="100">
        <f>C20</f>
        <v>1.1641133333333338</v>
      </c>
      <c r="I59" s="97">
        <f>C21</f>
        <v>2.0137456749100724E-2</v>
      </c>
    </row>
    <row r="60" spans="1:9">
      <c r="A60" s="65">
        <v>26</v>
      </c>
      <c r="B60" s="98">
        <v>15</v>
      </c>
      <c r="C60" s="99">
        <v>52</v>
      </c>
      <c r="D60" s="100">
        <f>D16</f>
        <v>44.573555547143854</v>
      </c>
      <c r="E60" s="100">
        <f>D17</f>
        <v>4.550760089857989</v>
      </c>
      <c r="F60" s="97">
        <f>D18</f>
        <v>0.30278106245551306</v>
      </c>
      <c r="G60" s="100">
        <f>D19</f>
        <v>42.07035992072413</v>
      </c>
      <c r="H60" s="100">
        <f>D20</f>
        <v>-5.6158760406092956</v>
      </c>
      <c r="I60" s="97">
        <f>D21</f>
        <v>0.51595669429605995</v>
      </c>
    </row>
    <row r="61" spans="1:9">
      <c r="A61" s="65">
        <v>26</v>
      </c>
      <c r="B61" s="98">
        <v>15</v>
      </c>
      <c r="C61" s="99">
        <v>54</v>
      </c>
      <c r="D61" s="100">
        <f>E16</f>
        <v>90.430826563865423</v>
      </c>
      <c r="E61" s="100">
        <f>E17</f>
        <v>4.3144406656416372</v>
      </c>
      <c r="F61" s="97">
        <f>E18</f>
        <v>0.15194824311431243</v>
      </c>
      <c r="G61" s="100">
        <f>E19</f>
        <v>90.775765106319469</v>
      </c>
      <c r="H61" s="100">
        <f>E20</f>
        <v>0.3449385424540452</v>
      </c>
      <c r="I61" s="97">
        <f>E21</f>
        <v>0.83812964158251502</v>
      </c>
    </row>
    <row r="62" spans="1:9">
      <c r="A62" s="65">
        <v>26</v>
      </c>
      <c r="B62" s="98">
        <v>15</v>
      </c>
      <c r="C62" s="101">
        <v>55</v>
      </c>
      <c r="D62" s="102">
        <f>F16</f>
        <v>74.93520858685477</v>
      </c>
      <c r="E62" s="100">
        <f>F17</f>
        <v>4.3144406656416372</v>
      </c>
      <c r="F62" s="97">
        <f>F18</f>
        <v>0.15194824311431243</v>
      </c>
      <c r="G62" s="100">
        <f>F19</f>
        <v>73.820451043865489</v>
      </c>
      <c r="H62" s="100">
        <f>F20</f>
        <v>-1.487628531382821</v>
      </c>
      <c r="I62" s="97">
        <f>F21</f>
        <v>0.55298399871594239</v>
      </c>
    </row>
    <row r="63" spans="1:9">
      <c r="A63" s="65">
        <v>26</v>
      </c>
      <c r="B63" s="98">
        <v>15</v>
      </c>
      <c r="C63" s="101">
        <v>56</v>
      </c>
      <c r="D63" s="102">
        <f>G16</f>
        <v>3.3823051937070061</v>
      </c>
      <c r="E63" s="100">
        <f>G17</f>
        <v>0.26743694479181185</v>
      </c>
      <c r="F63" s="97">
        <f>G18</f>
        <v>0.10015577761098937</v>
      </c>
      <c r="G63" s="100">
        <f>G19</f>
        <v>3.3479834007697407</v>
      </c>
      <c r="H63" s="100">
        <f>G20</f>
        <v>-3.432179293726545E-2</v>
      </c>
      <c r="I63" s="97">
        <f>G21</f>
        <v>0.79554491967922714</v>
      </c>
    </row>
    <row r="64" spans="1:9">
      <c r="A64" s="65">
        <v>26</v>
      </c>
      <c r="B64" s="98">
        <v>16</v>
      </c>
      <c r="C64" s="99">
        <v>51</v>
      </c>
      <c r="D64" s="100">
        <f>C22</f>
        <v>-1.937070084173804</v>
      </c>
      <c r="E64" s="103">
        <f>C23</f>
        <v>0.3889566827480827</v>
      </c>
      <c r="F64" s="104">
        <f>C24</f>
        <v>0.42504726311608176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117.63311114009055</v>
      </c>
      <c r="E65" s="103">
        <f>D23</f>
        <v>8.7585095051174573</v>
      </c>
      <c r="F65" s="104">
        <f>D24</f>
        <v>0.10091940210349427</v>
      </c>
      <c r="G65" s="100">
        <f>D25</f>
        <v>131.29600652124617</v>
      </c>
      <c r="H65" s="100">
        <f>D26</f>
        <v>11.61483807470189</v>
      </c>
      <c r="I65" s="97">
        <f>D27</f>
        <v>5.2340072861229332E-2</v>
      </c>
    </row>
    <row r="66" spans="1:9">
      <c r="A66" s="65">
        <v>26</v>
      </c>
      <c r="B66" s="98">
        <v>16</v>
      </c>
      <c r="C66" s="99">
        <v>54</v>
      </c>
      <c r="D66" s="100">
        <f>E22</f>
        <v>93.186966227408234</v>
      </c>
      <c r="E66" s="103">
        <f>E23</f>
        <v>0.60065707874936702</v>
      </c>
      <c r="F66" s="104">
        <f>E24</f>
        <v>0.21483880799409816</v>
      </c>
      <c r="G66" s="100">
        <f>E25</f>
        <v>90.102782541335117</v>
      </c>
      <c r="H66" s="100">
        <f>E26</f>
        <v>-3.0841836860731178</v>
      </c>
      <c r="I66" s="97">
        <f>E27</f>
        <v>0.10862040299514863</v>
      </c>
    </row>
    <row r="67" spans="1:9">
      <c r="A67" s="65">
        <v>26</v>
      </c>
      <c r="B67" s="98">
        <v>16</v>
      </c>
      <c r="C67" s="101">
        <v>55</v>
      </c>
      <c r="D67" s="105">
        <f>F22</f>
        <v>97.541618471954862</v>
      </c>
      <c r="E67" s="106">
        <f>F23</f>
        <v>0.60065707874936702</v>
      </c>
      <c r="F67" s="107">
        <f>F24</f>
        <v>0.21483880799409816</v>
      </c>
      <c r="G67" s="100">
        <f>F25</f>
        <v>97.25959930366183</v>
      </c>
      <c r="H67" s="100">
        <f>F26</f>
        <v>-0.28912701338261831</v>
      </c>
      <c r="I67" s="97">
        <f>F27</f>
        <v>0.47916178252402308</v>
      </c>
    </row>
    <row r="68" spans="1:9">
      <c r="A68" s="65">
        <v>26</v>
      </c>
      <c r="B68" s="98">
        <v>16</v>
      </c>
      <c r="C68" s="101">
        <v>56</v>
      </c>
      <c r="D68" s="108">
        <f>G22</f>
        <v>26.366893415619298</v>
      </c>
      <c r="E68" s="100">
        <f>G23</f>
        <v>0.61059515825002408</v>
      </c>
      <c r="F68" s="97">
        <f>G24</f>
        <v>0.31396358439788041</v>
      </c>
      <c r="G68" s="100">
        <f>G25</f>
        <v>25.416457511794963</v>
      </c>
      <c r="H68" s="100">
        <f>G23</f>
        <v>0.61059515825002408</v>
      </c>
      <c r="I68" s="97">
        <f>G24</f>
        <v>0.31396358439788041</v>
      </c>
    </row>
    <row r="69" spans="1:9">
      <c r="A69" s="65">
        <v>26</v>
      </c>
      <c r="B69" s="98">
        <v>17</v>
      </c>
      <c r="C69" s="99">
        <v>51</v>
      </c>
      <c r="D69" s="100">
        <f>C28</f>
        <v>8.3021511355965867</v>
      </c>
      <c r="E69" s="103">
        <f>C29</f>
        <v>0.36818575859640479</v>
      </c>
      <c r="F69" s="104">
        <f>C30</f>
        <v>0.12686845903009802</v>
      </c>
      <c r="G69" s="100">
        <f>C31</f>
        <v>8.9338216244854785</v>
      </c>
      <c r="H69" s="100">
        <f>C32</f>
        <v>0.63167048888889177</v>
      </c>
      <c r="I69" s="97">
        <f>C33</f>
        <v>1.0490642726578396E-2</v>
      </c>
    </row>
    <row r="70" spans="1:9">
      <c r="A70" s="65">
        <v>26</v>
      </c>
      <c r="B70" s="98">
        <v>17</v>
      </c>
      <c r="C70" s="99">
        <v>52</v>
      </c>
      <c r="D70" s="100">
        <f>D28</f>
        <v>170.29899994908945</v>
      </c>
      <c r="E70" s="103">
        <f>D29</f>
        <v>21.622803030033438</v>
      </c>
      <c r="F70" s="104">
        <f>D30</f>
        <v>4.5168270695404231E-3</v>
      </c>
      <c r="G70" s="100">
        <f>D31</f>
        <v>174.13108693819154</v>
      </c>
      <c r="H70" s="100">
        <f>D32</f>
        <v>2.2502110935752344</v>
      </c>
      <c r="I70" s="97">
        <f>D33</f>
        <v>0.70589168086807097</v>
      </c>
    </row>
    <row r="71" spans="1:9">
      <c r="A71" s="65">
        <v>26</v>
      </c>
      <c r="B71" s="98">
        <v>17</v>
      </c>
      <c r="C71" s="99">
        <v>54</v>
      </c>
      <c r="D71" s="100">
        <f>E28</f>
        <v>97.744538611880117</v>
      </c>
      <c r="E71" s="103">
        <f>E29</f>
        <v>-0.35366527670947734</v>
      </c>
      <c r="F71" s="104">
        <f>E30</f>
        <v>7.6353645724413083E-2</v>
      </c>
      <c r="G71" s="100">
        <f>E31</f>
        <v>94.236899960546211</v>
      </c>
      <c r="H71" s="100">
        <f>E32</f>
        <v>-3.507638651333906</v>
      </c>
      <c r="I71" s="97">
        <f>E33</f>
        <v>1.1790272770751271E-2</v>
      </c>
    </row>
    <row r="72" spans="1:9">
      <c r="A72" s="65">
        <v>26</v>
      </c>
      <c r="B72" s="98">
        <v>17</v>
      </c>
      <c r="C72" s="101">
        <v>55</v>
      </c>
      <c r="D72" s="105">
        <f>F28</f>
        <v>99.248295659876575</v>
      </c>
      <c r="E72" s="106">
        <f>F29</f>
        <v>-0.35366527670947734</v>
      </c>
      <c r="F72" s="107">
        <f>F30</f>
        <v>7.6353645724413083E-2</v>
      </c>
      <c r="G72" s="100">
        <f>F31</f>
        <v>98.641126254764345</v>
      </c>
      <c r="H72" s="100">
        <f>F32</f>
        <v>-0.61176809241440433</v>
      </c>
      <c r="I72" s="97">
        <f>F33</f>
        <v>0.38021135944203732</v>
      </c>
    </row>
    <row r="73" spans="1:9">
      <c r="A73" s="65">
        <v>26</v>
      </c>
      <c r="B73" s="98">
        <v>17</v>
      </c>
      <c r="C73" s="101">
        <v>56</v>
      </c>
      <c r="D73" s="108">
        <f>G28</f>
        <v>34.922139900954576</v>
      </c>
      <c r="E73" s="100">
        <f>G29</f>
        <v>-0.1709438215549394</v>
      </c>
      <c r="F73" s="97">
        <f>G30</f>
        <v>0.48950252527063687</v>
      </c>
      <c r="G73" s="100">
        <f>G31</f>
        <v>33.468519424859558</v>
      </c>
      <c r="H73" s="100">
        <f>G32</f>
        <v>-1.4536204760950184</v>
      </c>
      <c r="I73" s="97">
        <f>G33</f>
        <v>6.0298952988376555E-3</v>
      </c>
    </row>
    <row r="74" spans="1:9">
      <c r="A74" s="65">
        <v>26</v>
      </c>
      <c r="B74" s="98">
        <v>18</v>
      </c>
      <c r="C74" s="99">
        <v>51</v>
      </c>
      <c r="D74" s="100">
        <f>C34</f>
        <v>16.778111108462021</v>
      </c>
      <c r="E74" s="103">
        <f>C35</f>
        <v>0.58203880765031446</v>
      </c>
      <c r="F74" s="104">
        <f>C36</f>
        <v>8.8030988337809372E-3</v>
      </c>
      <c r="G74" s="100">
        <f>C37</f>
        <v>17.79131584179536</v>
      </c>
      <c r="H74" s="100">
        <f>C38</f>
        <v>1.0132047333333372</v>
      </c>
      <c r="I74" s="97">
        <f>C39</f>
        <v>1.9526104394765526E-3</v>
      </c>
    </row>
    <row r="75" spans="1:9">
      <c r="A75" s="65">
        <v>26</v>
      </c>
      <c r="B75" s="98">
        <v>18</v>
      </c>
      <c r="C75" s="99">
        <v>52</v>
      </c>
      <c r="D75" s="100">
        <f>D34</f>
        <v>87.302444509098066</v>
      </c>
      <c r="E75" s="103">
        <f>D35</f>
        <v>2.1308862703150018</v>
      </c>
      <c r="F75" s="104">
        <f>D36</f>
        <v>0.75936716793427073</v>
      </c>
      <c r="G75" s="100">
        <f>D37</f>
        <v>92.230182757915628</v>
      </c>
      <c r="H75" s="100">
        <f>D38</f>
        <v>5.6444447535532989</v>
      </c>
      <c r="I75" s="97">
        <f>D39</f>
        <v>0.49826531568438626</v>
      </c>
    </row>
    <row r="76" spans="1:9">
      <c r="A76" s="65">
        <v>26</v>
      </c>
      <c r="B76" s="98">
        <v>18</v>
      </c>
      <c r="C76" s="99">
        <v>54</v>
      </c>
      <c r="D76" s="100">
        <f>E34</f>
        <v>98.357218748809103</v>
      </c>
      <c r="E76" s="103">
        <f>E35</f>
        <v>-1.0484229926341702</v>
      </c>
      <c r="F76" s="104">
        <f>E36</f>
        <v>0.74707168177169547</v>
      </c>
      <c r="G76" s="100">
        <f>E37</f>
        <v>98.525914758176171</v>
      </c>
      <c r="H76" s="100">
        <f>E38</f>
        <v>0.16869600936706775</v>
      </c>
      <c r="I76" s="97">
        <f>E39</f>
        <v>0.7717196423759467</v>
      </c>
    </row>
    <row r="77" spans="1:9">
      <c r="A77" s="65">
        <v>26</v>
      </c>
      <c r="B77" s="98">
        <v>18</v>
      </c>
      <c r="C77" s="101">
        <v>55</v>
      </c>
      <c r="D77" s="105">
        <f>F34</f>
        <v>76.23420478321755</v>
      </c>
      <c r="E77" s="106">
        <f>F35</f>
        <v>-1.0484229926341702</v>
      </c>
      <c r="F77" s="107">
        <f>F36</f>
        <v>0.74707168177169547</v>
      </c>
      <c r="G77" s="100">
        <f>F37</f>
        <v>73.06066606160978</v>
      </c>
      <c r="H77" s="100">
        <f>F38</f>
        <v>-4.1628803378118402</v>
      </c>
      <c r="I77" s="97">
        <f>F39</f>
        <v>0.47591789462269585</v>
      </c>
    </row>
    <row r="78" spans="1:9">
      <c r="A78" s="65">
        <v>26</v>
      </c>
      <c r="B78" s="98">
        <v>18</v>
      </c>
      <c r="C78" s="101">
        <v>56</v>
      </c>
      <c r="D78" s="108">
        <f>G34</f>
        <v>6.7596398791259213</v>
      </c>
      <c r="E78" s="100">
        <f>G35</f>
        <v>-9.5910427539940848E-2</v>
      </c>
      <c r="F78" s="97">
        <f>G36</f>
        <v>0.74982745531605888</v>
      </c>
      <c r="G78" s="100">
        <f>G37</f>
        <v>6.5027218524943358</v>
      </c>
      <c r="H78" s="100">
        <f>G38</f>
        <v>-0.25691802663158558</v>
      </c>
      <c r="I78" s="97">
        <f>G39</f>
        <v>0.48080565827652555</v>
      </c>
    </row>
    <row r="79" spans="1:9">
      <c r="A79" s="65">
        <v>26</v>
      </c>
      <c r="B79" s="98">
        <v>19</v>
      </c>
      <c r="C79" s="99">
        <v>51</v>
      </c>
      <c r="D79" s="100">
        <f>C40</f>
        <v>18.680896057108402</v>
      </c>
      <c r="E79" s="103">
        <f>C41</f>
        <v>0.87165603952549331</v>
      </c>
      <c r="F79" s="104">
        <f>C42</f>
        <v>1.3325971519787074E-3</v>
      </c>
      <c r="G79" s="100">
        <f>C43</f>
        <v>19.158131657108402</v>
      </c>
      <c r="H79" s="100">
        <f>C44</f>
        <v>0.4772356000000002</v>
      </c>
      <c r="I79" s="97">
        <f>C45</f>
        <v>0.12921150683723515</v>
      </c>
    </row>
    <row r="80" spans="1:9">
      <c r="A80" s="65">
        <v>26</v>
      </c>
      <c r="B80" s="98">
        <v>19</v>
      </c>
      <c r="C80" s="99">
        <v>52</v>
      </c>
      <c r="D80" s="100">
        <f>D40</f>
        <v>97.336888851184071</v>
      </c>
      <c r="E80" s="100">
        <f>D41</f>
        <v>13.350559822887735</v>
      </c>
      <c r="F80" s="104">
        <f>D42</f>
        <v>0.14058534738208639</v>
      </c>
      <c r="G80" s="100">
        <f>D43</f>
        <v>107.14064904102314</v>
      </c>
      <c r="H80" s="100">
        <f>D44</f>
        <v>10.071988436807128</v>
      </c>
      <c r="I80" s="97">
        <f>D45</f>
        <v>0.32849395481488064</v>
      </c>
    </row>
    <row r="81" spans="1:9">
      <c r="A81" s="65">
        <v>26</v>
      </c>
      <c r="B81" s="98">
        <v>19</v>
      </c>
      <c r="C81" s="99">
        <v>54</v>
      </c>
      <c r="D81" s="100">
        <f>E40</f>
        <v>88.154245913257284</v>
      </c>
      <c r="E81" s="103">
        <f>E41</f>
        <v>-6.3079118716400853</v>
      </c>
      <c r="F81" s="104">
        <f>E42</f>
        <v>0.1318089865516443</v>
      </c>
      <c r="G81" s="100">
        <f>E43</f>
        <v>91.83321530456486</v>
      </c>
      <c r="H81" s="100">
        <f>E44</f>
        <v>3.6789693913075752</v>
      </c>
      <c r="I81" s="97">
        <f>E45</f>
        <v>9.2780965197382895E-2</v>
      </c>
    </row>
    <row r="82" spans="1:9">
      <c r="A82" s="65">
        <v>26</v>
      </c>
      <c r="B82" s="98">
        <v>19</v>
      </c>
      <c r="C82" s="101">
        <v>55</v>
      </c>
      <c r="D82" s="105">
        <f>F40</f>
        <v>66.087839196016276</v>
      </c>
      <c r="E82" s="106">
        <f>F41</f>
        <v>-6.3079118716400853</v>
      </c>
      <c r="F82" s="107">
        <f>F42</f>
        <v>0.1318089865516443</v>
      </c>
      <c r="G82" s="100">
        <f>F43</f>
        <v>61.463356633077801</v>
      </c>
      <c r="H82" s="100">
        <f>F44</f>
        <v>-6.9974788390679183</v>
      </c>
      <c r="I82" s="97">
        <f>F45</f>
        <v>0.32527160179203629</v>
      </c>
    </row>
    <row r="83" spans="1:9">
      <c r="A83" s="65">
        <v>26</v>
      </c>
      <c r="B83" s="98">
        <v>19</v>
      </c>
      <c r="C83" s="101">
        <v>56</v>
      </c>
      <c r="D83" s="108">
        <f>G40</f>
        <v>4.11010625533598</v>
      </c>
      <c r="E83" s="106">
        <f>G41</f>
        <v>-0.16185421566035563</v>
      </c>
      <c r="F83" s="109">
        <f>G42</f>
        <v>0.58867481078234318</v>
      </c>
      <c r="G83" s="100">
        <f>G43</f>
        <v>3.9939460284353663</v>
      </c>
      <c r="H83" s="100">
        <f>G44</f>
        <v>-0.11616022690061367</v>
      </c>
      <c r="I83" s="97">
        <f>G45</f>
        <v>0.70370805394045366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5"/>
  <dimension ref="A1:O83"/>
  <sheetViews>
    <sheetView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22.246709675347926</v>
      </c>
      <c r="D4" s="31">
        <v>99.374666666666684</v>
      </c>
      <c r="E4" s="30">
        <v>69.107580746836831</v>
      </c>
      <c r="F4" s="30">
        <v>97.261006155412048</v>
      </c>
      <c r="G4" s="130">
        <v>4.7159426158579949</v>
      </c>
    </row>
    <row r="5" spans="1:8" ht="18.75">
      <c r="A5" s="178"/>
      <c r="B5" s="21" t="s">
        <v>17</v>
      </c>
      <c r="C5" s="131">
        <v>0.10045613362637584</v>
      </c>
      <c r="D5" s="33">
        <v>-3.5097664071190189</v>
      </c>
      <c r="E5" s="34">
        <v>-0.60978967067958534</v>
      </c>
      <c r="F5" s="34">
        <v>-0.60978967067958534</v>
      </c>
      <c r="G5" s="132">
        <v>-0.79626357802006431</v>
      </c>
    </row>
    <row r="6" spans="1:8">
      <c r="A6" s="178"/>
      <c r="B6" s="22" t="s">
        <v>18</v>
      </c>
      <c r="C6" s="133">
        <v>1.2233365946605473E-4</v>
      </c>
      <c r="D6" s="37">
        <v>0.65971624868819378</v>
      </c>
      <c r="E6" s="37">
        <v>0.32906333535425514</v>
      </c>
      <c r="F6" s="37">
        <v>0.32906333535425514</v>
      </c>
      <c r="G6" s="134">
        <v>1.3043634060756198E-4</v>
      </c>
    </row>
    <row r="7" spans="1:8" ht="18.75">
      <c r="A7" s="178"/>
      <c r="B7" s="23" t="s">
        <v>19</v>
      </c>
      <c r="C7" s="78">
        <v>23.381421125347927</v>
      </c>
      <c r="D7" s="38">
        <v>97.348175556787695</v>
      </c>
      <c r="E7" s="112">
        <v>58.271159724350241</v>
      </c>
      <c r="F7" s="10">
        <v>96.816561387392994</v>
      </c>
      <c r="G7" s="113">
        <v>4.0104100951159642</v>
      </c>
    </row>
    <row r="8" spans="1:8" ht="18.75">
      <c r="A8" s="178"/>
      <c r="B8" s="21" t="s">
        <v>20</v>
      </c>
      <c r="C8" s="135">
        <v>1.1347114500000011</v>
      </c>
      <c r="D8" s="40">
        <v>-2.039243177213832</v>
      </c>
      <c r="E8" s="136">
        <v>-10.83642102248659</v>
      </c>
      <c r="F8" s="10">
        <v>-0.4569608989124449</v>
      </c>
      <c r="G8" s="137">
        <v>-0.70553252074203066</v>
      </c>
    </row>
    <row r="9" spans="1:8" ht="16.5" thickBot="1">
      <c r="A9" s="179"/>
      <c r="B9" s="25" t="s">
        <v>21</v>
      </c>
      <c r="C9" s="146">
        <v>9.773349531410104E-4</v>
      </c>
      <c r="D9" s="139">
        <v>0.86729429075961129</v>
      </c>
      <c r="E9" s="147">
        <v>1.0289663568093113E-3</v>
      </c>
      <c r="F9" s="47">
        <v>0.8294667758274018</v>
      </c>
      <c r="G9" s="141">
        <v>1.1726233734859015E-2</v>
      </c>
    </row>
    <row r="10" spans="1:8" ht="18.75">
      <c r="A10" s="180" t="s">
        <v>2</v>
      </c>
      <c r="B10" s="20" t="s">
        <v>16</v>
      </c>
      <c r="C10" s="129">
        <v>13.259477780132739</v>
      </c>
      <c r="D10" s="31">
        <v>80.208666666666659</v>
      </c>
      <c r="E10" s="30">
        <v>98.004922323379319</v>
      </c>
      <c r="F10" s="30">
        <v>84.733956805028129</v>
      </c>
      <c r="G10" s="130">
        <v>5.8186060852054178</v>
      </c>
    </row>
    <row r="11" spans="1:8" ht="18.75">
      <c r="A11" s="178"/>
      <c r="B11" s="21" t="s">
        <v>17</v>
      </c>
      <c r="C11" s="131">
        <v>0.19980234102298783</v>
      </c>
      <c r="D11" s="33">
        <v>12.282847608453837</v>
      </c>
      <c r="E11" s="34">
        <v>4.9678955443307506</v>
      </c>
      <c r="F11" s="34">
        <v>4.9678955443307506</v>
      </c>
      <c r="G11" s="132">
        <v>0.32340062339639591</v>
      </c>
    </row>
    <row r="12" spans="1:8">
      <c r="A12" s="178"/>
      <c r="B12" s="22" t="s">
        <v>18</v>
      </c>
      <c r="C12" s="133">
        <v>0.39749346446309197</v>
      </c>
      <c r="D12" s="37">
        <v>0.10325704760932945</v>
      </c>
      <c r="E12" s="37">
        <v>5.49337490522172E-2</v>
      </c>
      <c r="F12" s="37">
        <v>5.49337490522172E-2</v>
      </c>
      <c r="G12" s="134">
        <v>8.8510842934982112E-2</v>
      </c>
    </row>
    <row r="13" spans="1:8" ht="18.75">
      <c r="A13" s="178"/>
      <c r="B13" s="23" t="s">
        <v>19</v>
      </c>
      <c r="C13" s="78">
        <v>14.968292646799405</v>
      </c>
      <c r="D13" s="38">
        <v>71.642047880392397</v>
      </c>
      <c r="E13" s="112">
        <v>92.54522405407279</v>
      </c>
      <c r="F13" s="10">
        <v>81.849702116130075</v>
      </c>
      <c r="G13" s="113">
        <v>5.3017439529798454</v>
      </c>
    </row>
    <row r="14" spans="1:8" ht="18.75">
      <c r="A14" s="178"/>
      <c r="B14" s="21" t="s">
        <v>20</v>
      </c>
      <c r="C14" s="135">
        <v>1.7088148666666658</v>
      </c>
      <c r="D14" s="10">
        <v>-10.680415399342886</v>
      </c>
      <c r="E14" s="11">
        <v>-5.4596982693065286</v>
      </c>
      <c r="F14" s="10">
        <v>-3.4038947284554331</v>
      </c>
      <c r="G14" s="137">
        <v>-0.51686213222557242</v>
      </c>
    </row>
    <row r="15" spans="1:8" ht="16.5" thickBot="1">
      <c r="A15" s="181"/>
      <c r="B15" s="26" t="s">
        <v>21</v>
      </c>
      <c r="C15" s="149">
        <v>5.9899093644368747E-6</v>
      </c>
      <c r="D15" s="48">
        <v>0.27118425753229747</v>
      </c>
      <c r="E15" s="121">
        <v>4.8612158766569444E-3</v>
      </c>
      <c r="F15" s="43">
        <v>0.23188774272034052</v>
      </c>
      <c r="G15" s="143">
        <v>1.6090551685504353E-2</v>
      </c>
    </row>
    <row r="16" spans="1:8" ht="18.75">
      <c r="A16" s="177" t="s">
        <v>3</v>
      </c>
      <c r="B16" s="24" t="s">
        <v>16</v>
      </c>
      <c r="C16" s="144">
        <v>3.7103773828688897</v>
      </c>
      <c r="D16" s="45">
        <v>37.497999999999998</v>
      </c>
      <c r="E16" s="44">
        <v>91.023065854792719</v>
      </c>
      <c r="F16" s="44">
        <v>68.160724923593563</v>
      </c>
      <c r="G16" s="145">
        <v>3.1114378528709898</v>
      </c>
    </row>
    <row r="17" spans="1:7" ht="18.75">
      <c r="A17" s="178"/>
      <c r="B17" s="21" t="s">
        <v>17</v>
      </c>
      <c r="C17" s="131">
        <v>1.37259841970372</v>
      </c>
      <c r="D17" s="33">
        <v>1.3990211345939954</v>
      </c>
      <c r="E17" s="34">
        <v>0.35564732378925412</v>
      </c>
      <c r="F17" s="34">
        <v>0.35564732378925412</v>
      </c>
      <c r="G17" s="132">
        <v>0.19400907663750697</v>
      </c>
    </row>
    <row r="18" spans="1:7">
      <c r="A18" s="178"/>
      <c r="B18" s="22" t="s">
        <v>18</v>
      </c>
      <c r="C18" s="133">
        <v>1.5683536546650171E-2</v>
      </c>
      <c r="D18" s="37">
        <v>0.77660597110831076</v>
      </c>
      <c r="E18" s="37">
        <v>0.89950067610444773</v>
      </c>
      <c r="F18" s="37">
        <v>0.89950067610444773</v>
      </c>
      <c r="G18" s="134">
        <v>0.36372848011405545</v>
      </c>
    </row>
    <row r="19" spans="1:7" ht="18.75">
      <c r="A19" s="178"/>
      <c r="B19" s="23" t="s">
        <v>19</v>
      </c>
      <c r="C19" s="78">
        <v>4.7103396828688915</v>
      </c>
      <c r="D19" s="38">
        <v>38.725669569418322</v>
      </c>
      <c r="E19" s="112">
        <v>87.264268260378586</v>
      </c>
      <c r="F19" s="10">
        <v>67.626205161504529</v>
      </c>
      <c r="G19" s="113">
        <v>2.9274523005176976</v>
      </c>
    </row>
    <row r="20" spans="1:7" ht="18.75">
      <c r="A20" s="178"/>
      <c r="B20" s="21" t="s">
        <v>20</v>
      </c>
      <c r="C20" s="135">
        <v>0.99996230000000175</v>
      </c>
      <c r="D20" s="10">
        <v>3.2739601296557868</v>
      </c>
      <c r="E20" s="11">
        <v>-3.7587975944141334</v>
      </c>
      <c r="F20" s="10">
        <v>-0.78420492547316478</v>
      </c>
      <c r="G20" s="137">
        <v>-0.18398555235329228</v>
      </c>
    </row>
    <row r="21" spans="1:7" ht="16.5" thickBot="1">
      <c r="A21" s="179"/>
      <c r="B21" s="25" t="s">
        <v>21</v>
      </c>
      <c r="C21" s="146">
        <v>2.8073981926828039E-2</v>
      </c>
      <c r="D21" s="46">
        <v>0.82549584770808448</v>
      </c>
      <c r="E21" s="89">
        <v>0.1338554133494062</v>
      </c>
      <c r="F21" s="47">
        <v>0.87318915851962742</v>
      </c>
      <c r="G21" s="141">
        <v>0.35242149792642352</v>
      </c>
    </row>
    <row r="22" spans="1:7" ht="18.75">
      <c r="A22" s="180" t="s">
        <v>4</v>
      </c>
      <c r="B22" s="20" t="s">
        <v>16</v>
      </c>
      <c r="C22" s="129">
        <v>-1.4869140397828244</v>
      </c>
      <c r="D22" s="31">
        <v>94.902000000000015</v>
      </c>
      <c r="E22" s="30">
        <v>94.665081459810153</v>
      </c>
      <c r="F22" s="30">
        <v>93.434952696064784</v>
      </c>
      <c r="G22" s="130">
        <v>25.623934820830591</v>
      </c>
    </row>
    <row r="23" spans="1:7" ht="18.75">
      <c r="A23" s="178"/>
      <c r="B23" s="21" t="s">
        <v>17</v>
      </c>
      <c r="C23" s="131">
        <v>0.33934328843237715</v>
      </c>
      <c r="D23" s="33">
        <v>5.0926362625139063</v>
      </c>
      <c r="E23" s="34">
        <v>-0.43907029293800698</v>
      </c>
      <c r="F23" s="34">
        <v>-0.43907029293800698</v>
      </c>
      <c r="G23" s="132">
        <v>0.17673469076825596</v>
      </c>
    </row>
    <row r="24" spans="1:7">
      <c r="A24" s="178"/>
      <c r="B24" s="22" t="s">
        <v>18</v>
      </c>
      <c r="C24" s="133">
        <v>0.46458015417221399</v>
      </c>
      <c r="D24" s="37">
        <v>0.54149905937204523</v>
      </c>
      <c r="E24" s="37">
        <v>0.72548254641340082</v>
      </c>
      <c r="F24" s="37">
        <v>0.72548254641340082</v>
      </c>
      <c r="G24" s="134">
        <v>0.75396574339579159</v>
      </c>
    </row>
    <row r="25" spans="1:7" ht="18.75">
      <c r="A25" s="178"/>
      <c r="B25" s="23" t="s">
        <v>19</v>
      </c>
      <c r="C25" s="78">
        <v>-0.15554525089393545</v>
      </c>
      <c r="D25" s="38">
        <v>109.68814394355272</v>
      </c>
      <c r="E25" s="112">
        <v>85.951126709343583</v>
      </c>
      <c r="F25" s="10">
        <v>94.325128150550299</v>
      </c>
      <c r="G25" s="113">
        <v>23.397218323413181</v>
      </c>
    </row>
    <row r="26" spans="1:7" ht="18.75">
      <c r="A26" s="178"/>
      <c r="B26" s="21" t="s">
        <v>20</v>
      </c>
      <c r="C26" s="135">
        <v>1.331368788888889</v>
      </c>
      <c r="D26" s="10">
        <v>15.580434494059867</v>
      </c>
      <c r="E26" s="11">
        <v>-8.71395475046657</v>
      </c>
      <c r="F26" s="10">
        <v>0.95272211180025912</v>
      </c>
      <c r="G26" s="115">
        <v>-2.2267164974174101</v>
      </c>
    </row>
    <row r="27" spans="1:7" ht="16.5" thickBot="1">
      <c r="A27" s="181"/>
      <c r="B27" s="26" t="s">
        <v>21</v>
      </c>
      <c r="C27" s="149">
        <v>1.0943374003028054E-3</v>
      </c>
      <c r="D27" s="48">
        <v>7.6470308605769449E-2</v>
      </c>
      <c r="E27" s="121">
        <v>2.6706614805069523E-3</v>
      </c>
      <c r="F27" s="43">
        <v>0.262589888102016</v>
      </c>
      <c r="G27" s="122">
        <v>6.1140649896899261E-3</v>
      </c>
    </row>
    <row r="28" spans="1:7" ht="18.75">
      <c r="A28" s="177" t="s">
        <v>5</v>
      </c>
      <c r="B28" s="24" t="s">
        <v>16</v>
      </c>
      <c r="C28" s="144">
        <v>9.7153854237293533</v>
      </c>
      <c r="D28" s="45">
        <v>103.40033333333334</v>
      </c>
      <c r="E28" s="44">
        <v>91.966459376267736</v>
      </c>
      <c r="F28" s="44">
        <v>95.468166703630246</v>
      </c>
      <c r="G28" s="145">
        <v>31.659109652350466</v>
      </c>
    </row>
    <row r="29" spans="1:7" ht="18.75">
      <c r="A29" s="178"/>
      <c r="B29" s="21" t="s">
        <v>17</v>
      </c>
      <c r="C29" s="131">
        <v>0.55388787948420615</v>
      </c>
      <c r="D29" s="33">
        <v>2.1924137931034489</v>
      </c>
      <c r="E29" s="34">
        <v>0.24054043675791409</v>
      </c>
      <c r="F29" s="34">
        <v>0.24054043675791409</v>
      </c>
      <c r="G29" s="132">
        <v>-0.64643214425672635</v>
      </c>
    </row>
    <row r="30" spans="1:7">
      <c r="A30" s="178"/>
      <c r="B30" s="22" t="s">
        <v>18</v>
      </c>
      <c r="C30" s="133">
        <v>3.2326366833250249E-2</v>
      </c>
      <c r="D30" s="37">
        <v>0.78155730424145831</v>
      </c>
      <c r="E30" s="49">
        <v>0.8197513570254672</v>
      </c>
      <c r="F30" s="49">
        <v>0.8197513570254672</v>
      </c>
      <c r="G30" s="134">
        <v>0.35141398378538968</v>
      </c>
    </row>
    <row r="31" spans="1:7" ht="18.75">
      <c r="A31" s="178"/>
      <c r="B31" s="23" t="s">
        <v>19</v>
      </c>
      <c r="C31" s="78">
        <v>10.553589779284907</v>
      </c>
      <c r="D31" s="38">
        <v>100.75710171065109</v>
      </c>
      <c r="E31" s="112">
        <v>84.827051790418778</v>
      </c>
      <c r="F31" s="10">
        <v>94.848024321708436</v>
      </c>
      <c r="G31" s="113">
        <v>28.92982256690329</v>
      </c>
    </row>
    <row r="32" spans="1:7" ht="18.75">
      <c r="A32" s="178"/>
      <c r="B32" s="21" t="s">
        <v>20</v>
      </c>
      <c r="C32" s="135">
        <v>0.83820435555555406</v>
      </c>
      <c r="D32" s="10">
        <v>-2.5563086089492799</v>
      </c>
      <c r="E32" s="11">
        <v>-7.1394075858489572</v>
      </c>
      <c r="F32" s="10">
        <v>-0.64958027721111011</v>
      </c>
      <c r="G32" s="115">
        <v>-2.7292870854471758</v>
      </c>
    </row>
    <row r="33" spans="1:15" ht="16.5" thickBot="1">
      <c r="A33" s="179"/>
      <c r="B33" s="25" t="s">
        <v>21</v>
      </c>
      <c r="C33" s="146">
        <v>1.2544156698675351E-4</v>
      </c>
      <c r="D33" s="46">
        <v>0.67890709889899448</v>
      </c>
      <c r="E33" s="117">
        <v>1.039061126213733E-4</v>
      </c>
      <c r="F33" s="47">
        <v>0.22860189038914136</v>
      </c>
      <c r="G33" s="118">
        <v>1.0060167656586122E-4</v>
      </c>
    </row>
    <row r="34" spans="1:15" ht="18.75">
      <c r="A34" s="177" t="s">
        <v>6</v>
      </c>
      <c r="B34" s="24" t="s">
        <v>16</v>
      </c>
      <c r="C34" s="129">
        <v>20.113422218534669</v>
      </c>
      <c r="D34" s="31">
        <v>61.106666666666669</v>
      </c>
      <c r="E34" s="30">
        <v>80.454977813175532</v>
      </c>
      <c r="F34" s="30">
        <v>87.468635569646992</v>
      </c>
      <c r="G34" s="130">
        <v>6.3106636920180952</v>
      </c>
    </row>
    <row r="35" spans="1:15" ht="18.75">
      <c r="A35" s="178"/>
      <c r="B35" s="21" t="s">
        <v>17</v>
      </c>
      <c r="C35" s="131">
        <v>0.59735705698512465</v>
      </c>
      <c r="D35" s="33">
        <v>3.4678531701891009</v>
      </c>
      <c r="E35" s="34">
        <v>-1.4005149671822346</v>
      </c>
      <c r="F35" s="34">
        <v>-1.4005149671822346</v>
      </c>
      <c r="G35" s="132">
        <v>-0.5362673312379167</v>
      </c>
    </row>
    <row r="36" spans="1:15">
      <c r="A36" s="178"/>
      <c r="B36" s="22" t="s">
        <v>18</v>
      </c>
      <c r="C36" s="133">
        <v>5.8287473109568395E-2</v>
      </c>
      <c r="D36" s="37">
        <v>0.48873241159283265</v>
      </c>
      <c r="E36" s="37">
        <v>0.47558364019455657</v>
      </c>
      <c r="F36" s="37">
        <v>0.47558364019455657</v>
      </c>
      <c r="G36" s="134">
        <v>3.8169650005958296E-2</v>
      </c>
    </row>
    <row r="37" spans="1:15" ht="18.75">
      <c r="A37" s="178"/>
      <c r="B37" s="23" t="s">
        <v>19</v>
      </c>
      <c r="C37" s="78">
        <v>21.286379718534672</v>
      </c>
      <c r="D37" s="38">
        <v>64.994252065931619</v>
      </c>
      <c r="E37" s="112">
        <v>73.031340075188126</v>
      </c>
      <c r="F37" s="10">
        <v>85.956936068501079</v>
      </c>
      <c r="G37" s="113">
        <v>5.532559438158243</v>
      </c>
    </row>
    <row r="38" spans="1:15" ht="18.75">
      <c r="A38" s="178"/>
      <c r="B38" s="21" t="s">
        <v>20</v>
      </c>
      <c r="C38" s="135">
        <v>1.1729575000000025</v>
      </c>
      <c r="D38" s="10">
        <v>6.3619660690567503</v>
      </c>
      <c r="E38" s="11">
        <v>-7.4236377379874057</v>
      </c>
      <c r="F38" s="10">
        <v>-1.7282760743903718</v>
      </c>
      <c r="G38" s="115">
        <v>-0.77810425385985216</v>
      </c>
    </row>
    <row r="39" spans="1:15" ht="16.5" thickBot="1">
      <c r="A39" s="179"/>
      <c r="B39" s="25" t="s">
        <v>21</v>
      </c>
      <c r="C39" s="149">
        <v>1.4092334935610849E-4</v>
      </c>
      <c r="D39" s="48">
        <v>0.64407851763642743</v>
      </c>
      <c r="E39" s="121">
        <v>2.5375211535694079E-4</v>
      </c>
      <c r="F39" s="43">
        <v>0.46710690128665289</v>
      </c>
      <c r="G39" s="122">
        <v>1.8729966965669211E-4</v>
      </c>
    </row>
    <row r="40" spans="1:15" ht="18.75">
      <c r="A40" s="180" t="s">
        <v>7</v>
      </c>
      <c r="B40" s="20" t="s">
        <v>16</v>
      </c>
      <c r="C40" s="144">
        <v>22.531376343593802</v>
      </c>
      <c r="D40" s="45">
        <v>56.087333333333326</v>
      </c>
      <c r="E40" s="44">
        <v>94.697970129412553</v>
      </c>
      <c r="F40" s="44">
        <v>84.781214712050897</v>
      </c>
      <c r="G40" s="145">
        <v>5.6105942146320729</v>
      </c>
    </row>
    <row r="41" spans="1:15" ht="18.75">
      <c r="A41" s="178"/>
      <c r="B41" s="21" t="s">
        <v>17</v>
      </c>
      <c r="C41" s="131">
        <v>1.0487337164098767</v>
      </c>
      <c r="D41" s="33">
        <v>-1.5528809788654061</v>
      </c>
      <c r="E41" s="34">
        <v>0.57625491286175401</v>
      </c>
      <c r="F41" s="34">
        <v>0.57625491286175401</v>
      </c>
      <c r="G41" s="132">
        <v>-0.1262996317198157</v>
      </c>
    </row>
    <row r="42" spans="1:15">
      <c r="A42" s="178"/>
      <c r="B42" s="22" t="s">
        <v>18</v>
      </c>
      <c r="C42" s="133">
        <v>2.9651859070789015E-3</v>
      </c>
      <c r="D42" s="37">
        <v>0.79889098833156091</v>
      </c>
      <c r="E42" s="49">
        <v>0.81737870784648081</v>
      </c>
      <c r="F42" s="49">
        <v>0.81737870784648081</v>
      </c>
      <c r="G42" s="134">
        <v>0.48278766767640702</v>
      </c>
    </row>
    <row r="43" spans="1:15" ht="18.75">
      <c r="A43" s="178"/>
      <c r="B43" s="23" t="s">
        <v>19</v>
      </c>
      <c r="C43" s="78">
        <v>23.489672510260466</v>
      </c>
      <c r="D43" s="38">
        <v>54.280500531433042</v>
      </c>
      <c r="E43" s="112">
        <v>95.325624992947894</v>
      </c>
      <c r="F43" s="10">
        <v>85.441539472768739</v>
      </c>
      <c r="G43" s="113">
        <v>5.7007328124669101</v>
      </c>
    </row>
    <row r="44" spans="1:15" ht="18.75">
      <c r="A44" s="178"/>
      <c r="B44" s="21" t="s">
        <v>20</v>
      </c>
      <c r="C44" s="135">
        <v>0.9582961666666634</v>
      </c>
      <c r="D44" s="10">
        <v>-3.2214631976922021</v>
      </c>
      <c r="E44" s="11">
        <v>0.62765486353534072</v>
      </c>
      <c r="F44" s="10">
        <v>0.77885739542722132</v>
      </c>
      <c r="G44" s="137">
        <v>9.0138597834837242E-2</v>
      </c>
    </row>
    <row r="45" spans="1:15" ht="16.5" thickBot="1">
      <c r="A45" s="179"/>
      <c r="B45" s="25" t="s">
        <v>21</v>
      </c>
      <c r="C45" s="149">
        <v>6.9986563053932391E-3</v>
      </c>
      <c r="D45" s="48">
        <v>0.83350282652005769</v>
      </c>
      <c r="E45" s="121">
        <v>0.43344337700436608</v>
      </c>
      <c r="F45" s="43">
        <v>0.75806618152199567</v>
      </c>
      <c r="G45" s="143">
        <v>0.59815417903154255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22.246709675347926</v>
      </c>
      <c r="E49" s="100">
        <f>C5</f>
        <v>0.10045613362637584</v>
      </c>
      <c r="F49" s="97">
        <f>C6</f>
        <v>1.2233365946605473E-4</v>
      </c>
      <c r="G49" s="100">
        <f>C7</f>
        <v>23.381421125347927</v>
      </c>
      <c r="H49" s="100">
        <f>C8</f>
        <v>1.1347114500000011</v>
      </c>
      <c r="I49" s="97">
        <f>C9</f>
        <v>9.773349531410104E-4</v>
      </c>
    </row>
    <row r="50" spans="1:9">
      <c r="A50" s="65">
        <v>26</v>
      </c>
      <c r="B50" s="98">
        <v>13</v>
      </c>
      <c r="C50" s="99">
        <v>52</v>
      </c>
      <c r="D50" s="100">
        <f>D4</f>
        <v>99.374666666666684</v>
      </c>
      <c r="E50" s="100">
        <f>D5</f>
        <v>-3.5097664071190189</v>
      </c>
      <c r="F50" s="97">
        <f>D6</f>
        <v>0.65971624868819378</v>
      </c>
      <c r="G50" s="100">
        <f>D7</f>
        <v>97.348175556787695</v>
      </c>
      <c r="H50" s="100">
        <f>D8</f>
        <v>-2.039243177213832</v>
      </c>
      <c r="I50" s="97">
        <f>D9</f>
        <v>0.86729429075961129</v>
      </c>
    </row>
    <row r="51" spans="1:9">
      <c r="A51" s="65">
        <v>26</v>
      </c>
      <c r="B51" s="98">
        <v>13</v>
      </c>
      <c r="C51" s="99">
        <v>54</v>
      </c>
      <c r="D51" s="100">
        <f>E4</f>
        <v>69.107580746836831</v>
      </c>
      <c r="E51" s="100">
        <f>E5</f>
        <v>-0.60978967067958534</v>
      </c>
      <c r="F51" s="97">
        <f>E6</f>
        <v>0.32906333535425514</v>
      </c>
      <c r="G51" s="100">
        <f>E7</f>
        <v>58.271159724350241</v>
      </c>
      <c r="H51" s="100">
        <f>E8</f>
        <v>-10.83642102248659</v>
      </c>
      <c r="I51" s="97">
        <f>E9</f>
        <v>1.0289663568093113E-3</v>
      </c>
    </row>
    <row r="52" spans="1:9">
      <c r="A52" s="65">
        <v>26</v>
      </c>
      <c r="B52" s="98">
        <v>13</v>
      </c>
      <c r="C52" s="101">
        <v>55</v>
      </c>
      <c r="D52" s="100">
        <f>F4</f>
        <v>97.261006155412048</v>
      </c>
      <c r="E52" s="100">
        <f>F5</f>
        <v>-0.60978967067958534</v>
      </c>
      <c r="F52" s="97">
        <f>F6</f>
        <v>0.32906333535425514</v>
      </c>
      <c r="G52" s="100">
        <f>F7</f>
        <v>96.816561387392994</v>
      </c>
      <c r="H52" s="100">
        <f>F8</f>
        <v>-0.4569608989124449</v>
      </c>
      <c r="I52" s="97">
        <f>F9</f>
        <v>0.8294667758274018</v>
      </c>
    </row>
    <row r="53" spans="1:9">
      <c r="A53" s="65">
        <v>26</v>
      </c>
      <c r="B53" s="98">
        <v>13</v>
      </c>
      <c r="C53" s="101">
        <v>56</v>
      </c>
      <c r="D53" s="100">
        <f>G4</f>
        <v>4.7159426158579949</v>
      </c>
      <c r="E53" s="100">
        <f>G5</f>
        <v>-0.79626357802006431</v>
      </c>
      <c r="F53" s="97">
        <f>G6</f>
        <v>1.3043634060756198E-4</v>
      </c>
      <c r="G53" s="100">
        <f>G7</f>
        <v>4.0104100951159642</v>
      </c>
      <c r="H53" s="100">
        <f>G8</f>
        <v>-0.70553252074203066</v>
      </c>
      <c r="I53" s="97">
        <f>G9</f>
        <v>1.1726233734859015E-2</v>
      </c>
    </row>
    <row r="54" spans="1:9">
      <c r="A54" s="65">
        <v>26</v>
      </c>
      <c r="B54" s="98">
        <v>14</v>
      </c>
      <c r="C54" s="99">
        <v>51</v>
      </c>
      <c r="D54" s="100">
        <f>C10</f>
        <v>13.259477780132739</v>
      </c>
      <c r="E54" s="100">
        <f>C11</f>
        <v>0.19980234102298783</v>
      </c>
      <c r="F54" s="97">
        <f>C12</f>
        <v>0.39749346446309197</v>
      </c>
      <c r="G54" s="100">
        <f>C13</f>
        <v>14.968292646799405</v>
      </c>
      <c r="H54" s="100">
        <f>C14</f>
        <v>1.7088148666666658</v>
      </c>
      <c r="I54" s="97">
        <f>C15</f>
        <v>5.9899093644368747E-6</v>
      </c>
    </row>
    <row r="55" spans="1:9">
      <c r="A55" s="65">
        <v>26</v>
      </c>
      <c r="B55" s="98">
        <v>14</v>
      </c>
      <c r="C55" s="99">
        <v>52</v>
      </c>
      <c r="D55" s="100">
        <f>D10</f>
        <v>80.208666666666659</v>
      </c>
      <c r="E55" s="100">
        <f>D11</f>
        <v>12.282847608453837</v>
      </c>
      <c r="F55" s="97">
        <f>D12</f>
        <v>0.10325704760932945</v>
      </c>
      <c r="G55" s="100">
        <f>D13</f>
        <v>71.642047880392397</v>
      </c>
      <c r="H55" s="100">
        <f>D14</f>
        <v>-10.680415399342886</v>
      </c>
      <c r="I55" s="97">
        <f>D15</f>
        <v>0.27118425753229747</v>
      </c>
    </row>
    <row r="56" spans="1:9">
      <c r="A56" s="65">
        <v>26</v>
      </c>
      <c r="B56" s="98">
        <v>14</v>
      </c>
      <c r="C56" s="99">
        <v>54</v>
      </c>
      <c r="D56" s="100">
        <f>E10</f>
        <v>98.004922323379319</v>
      </c>
      <c r="E56" s="100">
        <f>E11</f>
        <v>4.9678955443307506</v>
      </c>
      <c r="F56" s="97">
        <f>E12</f>
        <v>5.49337490522172E-2</v>
      </c>
      <c r="G56" s="100">
        <f>E13</f>
        <v>92.54522405407279</v>
      </c>
      <c r="H56" s="100">
        <f>E14</f>
        <v>-5.4596982693065286</v>
      </c>
      <c r="I56" s="97">
        <f>E15</f>
        <v>4.8612158766569444E-3</v>
      </c>
    </row>
    <row r="57" spans="1:9">
      <c r="A57" s="65">
        <v>26</v>
      </c>
      <c r="B57" s="98">
        <v>14</v>
      </c>
      <c r="C57" s="101">
        <v>55</v>
      </c>
      <c r="D57" s="100">
        <f>F10</f>
        <v>84.733956805028129</v>
      </c>
      <c r="E57" s="100">
        <f>F11</f>
        <v>4.9678955443307506</v>
      </c>
      <c r="F57" s="97">
        <f>F12</f>
        <v>5.49337490522172E-2</v>
      </c>
      <c r="G57" s="100">
        <f>F13</f>
        <v>81.849702116130075</v>
      </c>
      <c r="H57" s="100">
        <f>F14</f>
        <v>-3.4038947284554331</v>
      </c>
      <c r="I57" s="97">
        <f>F15</f>
        <v>0.23188774272034052</v>
      </c>
    </row>
    <row r="58" spans="1:9">
      <c r="A58" s="65">
        <v>26</v>
      </c>
      <c r="B58" s="98">
        <v>14</v>
      </c>
      <c r="C58" s="101">
        <v>56</v>
      </c>
      <c r="D58" s="100">
        <f>G10</f>
        <v>5.8186060852054178</v>
      </c>
      <c r="E58" s="100">
        <f>G11</f>
        <v>0.32340062339639591</v>
      </c>
      <c r="F58" s="97">
        <f>G12</f>
        <v>8.8510842934982112E-2</v>
      </c>
      <c r="G58" s="100">
        <f>G13</f>
        <v>5.3017439529798454</v>
      </c>
      <c r="H58" s="100">
        <f>G14</f>
        <v>-0.51686213222557242</v>
      </c>
      <c r="I58" s="97">
        <f>G15</f>
        <v>1.6090551685504353E-2</v>
      </c>
    </row>
    <row r="59" spans="1:9">
      <c r="A59" s="65">
        <v>26</v>
      </c>
      <c r="B59" s="98">
        <v>15</v>
      </c>
      <c r="C59" s="99">
        <v>51</v>
      </c>
      <c r="D59" s="100">
        <f>C16</f>
        <v>3.7103773828688897</v>
      </c>
      <c r="E59" s="100">
        <f>C17</f>
        <v>1.37259841970372</v>
      </c>
      <c r="F59" s="97">
        <f>C18</f>
        <v>1.5683536546650171E-2</v>
      </c>
      <c r="G59" s="100">
        <f>C19</f>
        <v>4.7103396828688915</v>
      </c>
      <c r="H59" s="100">
        <f>C20</f>
        <v>0.99996230000000175</v>
      </c>
      <c r="I59" s="97">
        <f>C21</f>
        <v>2.8073981926828039E-2</v>
      </c>
    </row>
    <row r="60" spans="1:9">
      <c r="A60" s="65">
        <v>26</v>
      </c>
      <c r="B60" s="98">
        <v>15</v>
      </c>
      <c r="C60" s="99">
        <v>52</v>
      </c>
      <c r="D60" s="100">
        <f>D16</f>
        <v>37.497999999999998</v>
      </c>
      <c r="E60" s="100">
        <f>D17</f>
        <v>1.3990211345939954</v>
      </c>
      <c r="F60" s="97">
        <f>D18</f>
        <v>0.77660597110831076</v>
      </c>
      <c r="G60" s="100">
        <f>D19</f>
        <v>38.725669569418322</v>
      </c>
      <c r="H60" s="100">
        <f>D20</f>
        <v>3.2739601296557868</v>
      </c>
      <c r="I60" s="97">
        <f>D21</f>
        <v>0.82549584770808448</v>
      </c>
    </row>
    <row r="61" spans="1:9">
      <c r="A61" s="65">
        <v>26</v>
      </c>
      <c r="B61" s="98">
        <v>15</v>
      </c>
      <c r="C61" s="99">
        <v>54</v>
      </c>
      <c r="D61" s="100">
        <f>E16</f>
        <v>91.023065854792719</v>
      </c>
      <c r="E61" s="100">
        <f>E17</f>
        <v>0.35564732378925412</v>
      </c>
      <c r="F61" s="97">
        <f>E18</f>
        <v>0.89950067610444773</v>
      </c>
      <c r="G61" s="100">
        <f>E19</f>
        <v>87.264268260378586</v>
      </c>
      <c r="H61" s="100">
        <f>E20</f>
        <v>-3.7587975944141334</v>
      </c>
      <c r="I61" s="97">
        <f>E21</f>
        <v>0.1338554133494062</v>
      </c>
    </row>
    <row r="62" spans="1:9">
      <c r="A62" s="65">
        <v>26</v>
      </c>
      <c r="B62" s="98">
        <v>15</v>
      </c>
      <c r="C62" s="101">
        <v>55</v>
      </c>
      <c r="D62" s="102">
        <f>F16</f>
        <v>68.160724923593563</v>
      </c>
      <c r="E62" s="100">
        <f>F17</f>
        <v>0.35564732378925412</v>
      </c>
      <c r="F62" s="97">
        <f>F18</f>
        <v>0.89950067610444773</v>
      </c>
      <c r="G62" s="100">
        <f>F19</f>
        <v>67.626205161504529</v>
      </c>
      <c r="H62" s="100">
        <f>F20</f>
        <v>-0.78420492547316478</v>
      </c>
      <c r="I62" s="97">
        <f>F21</f>
        <v>0.87318915851962742</v>
      </c>
    </row>
    <row r="63" spans="1:9">
      <c r="A63" s="65">
        <v>26</v>
      </c>
      <c r="B63" s="98">
        <v>15</v>
      </c>
      <c r="C63" s="101">
        <v>56</v>
      </c>
      <c r="D63" s="102">
        <f>G16</f>
        <v>3.1114378528709898</v>
      </c>
      <c r="E63" s="100">
        <f>G17</f>
        <v>0.19400907663750697</v>
      </c>
      <c r="F63" s="97">
        <f>G18</f>
        <v>0.36372848011405545</v>
      </c>
      <c r="G63" s="100">
        <f>G19</f>
        <v>2.9274523005176976</v>
      </c>
      <c r="H63" s="100">
        <f>G20</f>
        <v>-0.18398555235329228</v>
      </c>
      <c r="I63" s="97">
        <f>G21</f>
        <v>0.35242149792642352</v>
      </c>
    </row>
    <row r="64" spans="1:9">
      <c r="A64" s="65">
        <v>26</v>
      </c>
      <c r="B64" s="98">
        <v>16</v>
      </c>
      <c r="C64" s="99">
        <v>51</v>
      </c>
      <c r="D64" s="100">
        <f>C22</f>
        <v>-1.4869140397828244</v>
      </c>
      <c r="E64" s="103">
        <f>C23</f>
        <v>0.33934328843237715</v>
      </c>
      <c r="F64" s="104">
        <f>C24</f>
        <v>0.46458015417221399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94.902000000000015</v>
      </c>
      <c r="E65" s="103">
        <f>D23</f>
        <v>5.0926362625139063</v>
      </c>
      <c r="F65" s="104">
        <f>D24</f>
        <v>0.54149905937204523</v>
      </c>
      <c r="G65" s="100">
        <f>D25</f>
        <v>109.68814394355272</v>
      </c>
      <c r="H65" s="100">
        <f>D26</f>
        <v>15.580434494059867</v>
      </c>
      <c r="I65" s="97">
        <f>D27</f>
        <v>7.6470308605769449E-2</v>
      </c>
    </row>
    <row r="66" spans="1:9">
      <c r="A66" s="65">
        <v>26</v>
      </c>
      <c r="B66" s="98">
        <v>16</v>
      </c>
      <c r="C66" s="99">
        <v>54</v>
      </c>
      <c r="D66" s="100">
        <f>E22</f>
        <v>94.665081459810153</v>
      </c>
      <c r="E66" s="103">
        <f>E23</f>
        <v>-0.43907029293800698</v>
      </c>
      <c r="F66" s="104">
        <f>E24</f>
        <v>0.72548254641340082</v>
      </c>
      <c r="G66" s="100">
        <f>E25</f>
        <v>85.951126709343583</v>
      </c>
      <c r="H66" s="100">
        <f>E26</f>
        <v>-8.71395475046657</v>
      </c>
      <c r="I66" s="97">
        <f>E27</f>
        <v>2.6706614805069523E-3</v>
      </c>
    </row>
    <row r="67" spans="1:9">
      <c r="A67" s="65">
        <v>26</v>
      </c>
      <c r="B67" s="98">
        <v>16</v>
      </c>
      <c r="C67" s="101">
        <v>55</v>
      </c>
      <c r="D67" s="105">
        <f>F22</f>
        <v>93.434952696064784</v>
      </c>
      <c r="E67" s="106">
        <f>F23</f>
        <v>-0.43907029293800698</v>
      </c>
      <c r="F67" s="107">
        <f>F24</f>
        <v>0.72548254641340082</v>
      </c>
      <c r="G67" s="100">
        <f>F25</f>
        <v>94.325128150550299</v>
      </c>
      <c r="H67" s="100">
        <f>F26</f>
        <v>0.95272211180025912</v>
      </c>
      <c r="I67" s="97">
        <f>F27</f>
        <v>0.262589888102016</v>
      </c>
    </row>
    <row r="68" spans="1:9">
      <c r="A68" s="65">
        <v>26</v>
      </c>
      <c r="B68" s="98">
        <v>16</v>
      </c>
      <c r="C68" s="101">
        <v>56</v>
      </c>
      <c r="D68" s="108">
        <f>G22</f>
        <v>25.623934820830591</v>
      </c>
      <c r="E68" s="100">
        <f>G23</f>
        <v>0.17673469076825596</v>
      </c>
      <c r="F68" s="97">
        <f>G24</f>
        <v>0.75396574339579159</v>
      </c>
      <c r="G68" s="100">
        <f>G25</f>
        <v>23.397218323413181</v>
      </c>
      <c r="H68" s="100">
        <f>G23</f>
        <v>0.17673469076825596</v>
      </c>
      <c r="I68" s="97">
        <f>G24</f>
        <v>0.75396574339579159</v>
      </c>
    </row>
    <row r="69" spans="1:9">
      <c r="A69" s="65">
        <v>26</v>
      </c>
      <c r="B69" s="98">
        <v>17</v>
      </c>
      <c r="C69" s="99">
        <v>51</v>
      </c>
      <c r="D69" s="100">
        <f>C28</f>
        <v>9.7153854237293533</v>
      </c>
      <c r="E69" s="103">
        <f>C29</f>
        <v>0.55388787948420615</v>
      </c>
      <c r="F69" s="104">
        <f>C30</f>
        <v>3.2326366833250249E-2</v>
      </c>
      <c r="G69" s="100">
        <f>C31</f>
        <v>10.553589779284907</v>
      </c>
      <c r="H69" s="100">
        <f>C32</f>
        <v>0.83820435555555406</v>
      </c>
      <c r="I69" s="97">
        <f>C33</f>
        <v>1.2544156698675351E-4</v>
      </c>
    </row>
    <row r="70" spans="1:9">
      <c r="A70" s="65">
        <v>26</v>
      </c>
      <c r="B70" s="98">
        <v>17</v>
      </c>
      <c r="C70" s="99">
        <v>52</v>
      </c>
      <c r="D70" s="100">
        <f>D28</f>
        <v>103.40033333333334</v>
      </c>
      <c r="E70" s="103">
        <f>D29</f>
        <v>2.1924137931034489</v>
      </c>
      <c r="F70" s="104">
        <f>D30</f>
        <v>0.78155730424145831</v>
      </c>
      <c r="G70" s="100">
        <f>D31</f>
        <v>100.75710171065109</v>
      </c>
      <c r="H70" s="100">
        <f>D32</f>
        <v>-2.5563086089492799</v>
      </c>
      <c r="I70" s="97">
        <f>D33</f>
        <v>0.67890709889899448</v>
      </c>
    </row>
    <row r="71" spans="1:9">
      <c r="A71" s="65">
        <v>26</v>
      </c>
      <c r="B71" s="98">
        <v>17</v>
      </c>
      <c r="C71" s="99">
        <v>54</v>
      </c>
      <c r="D71" s="100">
        <f>E28</f>
        <v>91.966459376267736</v>
      </c>
      <c r="E71" s="103">
        <f>E29</f>
        <v>0.24054043675791409</v>
      </c>
      <c r="F71" s="104">
        <f>E30</f>
        <v>0.8197513570254672</v>
      </c>
      <c r="G71" s="100">
        <f>E31</f>
        <v>84.827051790418778</v>
      </c>
      <c r="H71" s="100">
        <f>E32</f>
        <v>-7.1394075858489572</v>
      </c>
      <c r="I71" s="97">
        <f>E33</f>
        <v>1.039061126213733E-4</v>
      </c>
    </row>
    <row r="72" spans="1:9">
      <c r="A72" s="65">
        <v>26</v>
      </c>
      <c r="B72" s="98">
        <v>17</v>
      </c>
      <c r="C72" s="101">
        <v>55</v>
      </c>
      <c r="D72" s="105">
        <f>F28</f>
        <v>95.468166703630246</v>
      </c>
      <c r="E72" s="106">
        <f>F29</f>
        <v>0.24054043675791409</v>
      </c>
      <c r="F72" s="107">
        <f>F30</f>
        <v>0.8197513570254672</v>
      </c>
      <c r="G72" s="100">
        <f>F31</f>
        <v>94.848024321708436</v>
      </c>
      <c r="H72" s="100">
        <f>F32</f>
        <v>-0.64958027721111011</v>
      </c>
      <c r="I72" s="97">
        <f>F33</f>
        <v>0.22860189038914136</v>
      </c>
    </row>
    <row r="73" spans="1:9">
      <c r="A73" s="65">
        <v>26</v>
      </c>
      <c r="B73" s="98">
        <v>17</v>
      </c>
      <c r="C73" s="101">
        <v>56</v>
      </c>
      <c r="D73" s="108">
        <f>G28</f>
        <v>31.659109652350466</v>
      </c>
      <c r="E73" s="100">
        <f>G29</f>
        <v>-0.64643214425672635</v>
      </c>
      <c r="F73" s="97">
        <f>G30</f>
        <v>0.35141398378538968</v>
      </c>
      <c r="G73" s="100">
        <f>G31</f>
        <v>28.92982256690329</v>
      </c>
      <c r="H73" s="100">
        <f>G32</f>
        <v>-2.7292870854471758</v>
      </c>
      <c r="I73" s="97">
        <f>G33</f>
        <v>1.0060167656586122E-4</v>
      </c>
    </row>
    <row r="74" spans="1:9">
      <c r="A74" s="65">
        <v>26</v>
      </c>
      <c r="B74" s="98">
        <v>18</v>
      </c>
      <c r="C74" s="99">
        <v>51</v>
      </c>
      <c r="D74" s="100">
        <f>C34</f>
        <v>20.113422218534669</v>
      </c>
      <c r="E74" s="103">
        <f>C35</f>
        <v>0.59735705698512465</v>
      </c>
      <c r="F74" s="104">
        <f>C36</f>
        <v>5.8287473109568395E-2</v>
      </c>
      <c r="G74" s="100">
        <f>C37</f>
        <v>21.286379718534672</v>
      </c>
      <c r="H74" s="100">
        <f>C38</f>
        <v>1.1729575000000025</v>
      </c>
      <c r="I74" s="97">
        <f>C39</f>
        <v>1.4092334935610849E-4</v>
      </c>
    </row>
    <row r="75" spans="1:9">
      <c r="A75" s="65">
        <v>26</v>
      </c>
      <c r="B75" s="98">
        <v>18</v>
      </c>
      <c r="C75" s="99">
        <v>52</v>
      </c>
      <c r="D75" s="100">
        <f>D34</f>
        <v>61.106666666666669</v>
      </c>
      <c r="E75" s="103">
        <f>D35</f>
        <v>3.4678531701891009</v>
      </c>
      <c r="F75" s="104">
        <f>D36</f>
        <v>0.48873241159283265</v>
      </c>
      <c r="G75" s="100">
        <f>D37</f>
        <v>64.994252065931619</v>
      </c>
      <c r="H75" s="100">
        <f>D38</f>
        <v>6.3619660690567503</v>
      </c>
      <c r="I75" s="97">
        <f>D39</f>
        <v>0.64407851763642743</v>
      </c>
    </row>
    <row r="76" spans="1:9">
      <c r="A76" s="65">
        <v>26</v>
      </c>
      <c r="B76" s="98">
        <v>18</v>
      </c>
      <c r="C76" s="99">
        <v>54</v>
      </c>
      <c r="D76" s="100">
        <f>E34</f>
        <v>80.454977813175532</v>
      </c>
      <c r="E76" s="103">
        <f>E35</f>
        <v>-1.4005149671822346</v>
      </c>
      <c r="F76" s="104">
        <f>E36</f>
        <v>0.47558364019455657</v>
      </c>
      <c r="G76" s="100">
        <f>E37</f>
        <v>73.031340075188126</v>
      </c>
      <c r="H76" s="100">
        <f>E38</f>
        <v>-7.4236377379874057</v>
      </c>
      <c r="I76" s="97">
        <f>E39</f>
        <v>2.5375211535694079E-4</v>
      </c>
    </row>
    <row r="77" spans="1:9">
      <c r="A77" s="65">
        <v>26</v>
      </c>
      <c r="B77" s="98">
        <v>18</v>
      </c>
      <c r="C77" s="101">
        <v>55</v>
      </c>
      <c r="D77" s="105">
        <f>F34</f>
        <v>87.468635569646992</v>
      </c>
      <c r="E77" s="106">
        <f>F35</f>
        <v>-1.4005149671822346</v>
      </c>
      <c r="F77" s="107">
        <f>F36</f>
        <v>0.47558364019455657</v>
      </c>
      <c r="G77" s="100">
        <f>F37</f>
        <v>85.956936068501079</v>
      </c>
      <c r="H77" s="100">
        <f>F38</f>
        <v>-1.7282760743903718</v>
      </c>
      <c r="I77" s="97">
        <f>F39</f>
        <v>0.46710690128665289</v>
      </c>
    </row>
    <row r="78" spans="1:9">
      <c r="A78" s="65">
        <v>26</v>
      </c>
      <c r="B78" s="98">
        <v>18</v>
      </c>
      <c r="C78" s="101">
        <v>56</v>
      </c>
      <c r="D78" s="108">
        <f>G34</f>
        <v>6.3106636920180952</v>
      </c>
      <c r="E78" s="100">
        <f>G35</f>
        <v>-0.5362673312379167</v>
      </c>
      <c r="F78" s="97">
        <f>G36</f>
        <v>3.8169650005958296E-2</v>
      </c>
      <c r="G78" s="100">
        <f>G37</f>
        <v>5.532559438158243</v>
      </c>
      <c r="H78" s="100">
        <f>G38</f>
        <v>-0.77810425385985216</v>
      </c>
      <c r="I78" s="97">
        <f>G39</f>
        <v>1.8729966965669211E-4</v>
      </c>
    </row>
    <row r="79" spans="1:9">
      <c r="A79" s="65">
        <v>26</v>
      </c>
      <c r="B79" s="98">
        <v>19</v>
      </c>
      <c r="C79" s="99">
        <v>51</v>
      </c>
      <c r="D79" s="100">
        <f>C40</f>
        <v>22.531376343593802</v>
      </c>
      <c r="E79" s="103">
        <f>C41</f>
        <v>1.0487337164098767</v>
      </c>
      <c r="F79" s="104">
        <f>C42</f>
        <v>2.9651859070789015E-3</v>
      </c>
      <c r="G79" s="100">
        <f>C43</f>
        <v>23.489672510260466</v>
      </c>
      <c r="H79" s="100">
        <f>C44</f>
        <v>0.9582961666666634</v>
      </c>
      <c r="I79" s="97">
        <f>C45</f>
        <v>6.9986563053932391E-3</v>
      </c>
    </row>
    <row r="80" spans="1:9">
      <c r="A80" s="65">
        <v>26</v>
      </c>
      <c r="B80" s="98">
        <v>19</v>
      </c>
      <c r="C80" s="99">
        <v>52</v>
      </c>
      <c r="D80" s="100">
        <f>D40</f>
        <v>56.087333333333326</v>
      </c>
      <c r="E80" s="100">
        <f>D41</f>
        <v>-1.5528809788654061</v>
      </c>
      <c r="F80" s="104">
        <f>D42</f>
        <v>0.79889098833156091</v>
      </c>
      <c r="G80" s="100">
        <f>D43</f>
        <v>54.280500531433042</v>
      </c>
      <c r="H80" s="100">
        <f>D44</f>
        <v>-3.2214631976922021</v>
      </c>
      <c r="I80" s="97">
        <f>D45</f>
        <v>0.83350282652005769</v>
      </c>
    </row>
    <row r="81" spans="1:9">
      <c r="A81" s="65">
        <v>26</v>
      </c>
      <c r="B81" s="98">
        <v>19</v>
      </c>
      <c r="C81" s="99">
        <v>54</v>
      </c>
      <c r="D81" s="100">
        <f>E40</f>
        <v>94.697970129412553</v>
      </c>
      <c r="E81" s="103">
        <f>E41</f>
        <v>0.57625491286175401</v>
      </c>
      <c r="F81" s="104">
        <f>E42</f>
        <v>0.81737870784648081</v>
      </c>
      <c r="G81" s="100">
        <f>E43</f>
        <v>95.325624992947894</v>
      </c>
      <c r="H81" s="100">
        <f>E44</f>
        <v>0.62765486353534072</v>
      </c>
      <c r="I81" s="97">
        <f>E45</f>
        <v>0.43344337700436608</v>
      </c>
    </row>
    <row r="82" spans="1:9">
      <c r="A82" s="65">
        <v>26</v>
      </c>
      <c r="B82" s="98">
        <v>19</v>
      </c>
      <c r="C82" s="101">
        <v>55</v>
      </c>
      <c r="D82" s="105">
        <f>F40</f>
        <v>84.781214712050897</v>
      </c>
      <c r="E82" s="106">
        <f>F41</f>
        <v>0.57625491286175401</v>
      </c>
      <c r="F82" s="107">
        <f>F42</f>
        <v>0.81737870784648081</v>
      </c>
      <c r="G82" s="100">
        <f>F43</f>
        <v>85.441539472768739</v>
      </c>
      <c r="H82" s="100">
        <f>F44</f>
        <v>0.77885739542722132</v>
      </c>
      <c r="I82" s="97">
        <f>F45</f>
        <v>0.75806618152199567</v>
      </c>
    </row>
    <row r="83" spans="1:9">
      <c r="A83" s="65">
        <v>26</v>
      </c>
      <c r="B83" s="98">
        <v>19</v>
      </c>
      <c r="C83" s="101">
        <v>56</v>
      </c>
      <c r="D83" s="108">
        <f>G40</f>
        <v>5.6105942146320729</v>
      </c>
      <c r="E83" s="106">
        <f>G41</f>
        <v>-0.1262996317198157</v>
      </c>
      <c r="F83" s="109">
        <f>G42</f>
        <v>0.48278766767640702</v>
      </c>
      <c r="G83" s="100">
        <f>G43</f>
        <v>5.7007328124669101</v>
      </c>
      <c r="H83" s="100">
        <f>G44</f>
        <v>9.0138597834837242E-2</v>
      </c>
      <c r="I83" s="97">
        <f>G45</f>
        <v>0.59815417903154255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6"/>
  <dimension ref="A1:O83"/>
  <sheetViews>
    <sheetView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1" width="9.28515625" style="27" bestFit="1" customWidth="1"/>
    <col min="12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94" t="s">
        <v>8</v>
      </c>
      <c r="B4" s="24" t="s">
        <v>16</v>
      </c>
      <c r="C4" s="157">
        <v>23.496653796796974</v>
      </c>
      <c r="D4" s="55">
        <v>88.215094598371181</v>
      </c>
      <c r="E4" s="9">
        <v>42.717322483431232</v>
      </c>
      <c r="F4" s="9">
        <v>96.323971501857159</v>
      </c>
      <c r="G4" s="158">
        <v>2.9037335491991891</v>
      </c>
    </row>
    <row r="5" spans="1:8" ht="18.75">
      <c r="A5" s="192"/>
      <c r="B5" s="21" t="s">
        <v>17</v>
      </c>
      <c r="C5" s="135">
        <v>1.2256704166666665</v>
      </c>
      <c r="D5" s="40">
        <v>-7.0681938237007431</v>
      </c>
      <c r="E5" s="40">
        <v>-37.980052356753355</v>
      </c>
      <c r="F5" s="10">
        <v>-0.80121696497143058</v>
      </c>
      <c r="G5" s="159">
        <v>-38.055577787135782</v>
      </c>
    </row>
    <row r="6" spans="1:8">
      <c r="A6" s="192"/>
      <c r="B6" s="22" t="s">
        <v>18</v>
      </c>
      <c r="C6" s="160">
        <v>3.0294494659612752E-4</v>
      </c>
      <c r="D6" s="56">
        <v>0.54480751251953441</v>
      </c>
      <c r="E6" s="57">
        <v>2.7135672980087094E-4</v>
      </c>
      <c r="F6" s="58">
        <v>0.70334575785299369</v>
      </c>
      <c r="G6" s="161">
        <v>6.5722415530720913E-4</v>
      </c>
    </row>
    <row r="7" spans="1:8" ht="18.75">
      <c r="A7" s="192"/>
      <c r="B7" s="23" t="s">
        <v>19</v>
      </c>
      <c r="C7" s="162">
        <v>94.924545457579839</v>
      </c>
      <c r="D7" s="33">
        <v>68.876747089744953</v>
      </c>
      <c r="E7" s="112">
        <v>56.143621380482401</v>
      </c>
      <c r="F7" s="33">
        <v>4.687643286462297</v>
      </c>
      <c r="G7" s="113">
        <v>4.6723420760713585</v>
      </c>
    </row>
    <row r="8" spans="1:8" ht="18.75">
      <c r="A8" s="192"/>
      <c r="B8" s="21" t="s">
        <v>20</v>
      </c>
      <c r="C8" s="163">
        <v>-1.3962382389978625</v>
      </c>
      <c r="D8" s="34">
        <v>-0.32767322879877664</v>
      </c>
      <c r="E8" s="136">
        <v>-12.733125709262552</v>
      </c>
      <c r="F8" s="34">
        <v>-0.81606700095449836</v>
      </c>
      <c r="G8" s="137">
        <v>-1.5301210390938458E-2</v>
      </c>
    </row>
    <row r="9" spans="1:8" ht="16.5" thickBot="1">
      <c r="A9" s="193"/>
      <c r="B9" s="25" t="s">
        <v>21</v>
      </c>
      <c r="C9" s="164">
        <v>0.85008278226853839</v>
      </c>
      <c r="D9" s="63">
        <v>0.58888971630921205</v>
      </c>
      <c r="E9" s="147">
        <v>3.1107950464944389E-4</v>
      </c>
      <c r="F9" s="63">
        <v>1.2141697916974209E-5</v>
      </c>
      <c r="G9" s="141">
        <v>0.92233265856857372</v>
      </c>
    </row>
    <row r="10" spans="1:8" ht="18.75">
      <c r="A10" s="191"/>
      <c r="B10" s="20" t="s">
        <v>16</v>
      </c>
      <c r="C10" s="157">
        <v>15.555102596846879</v>
      </c>
      <c r="D10" s="55">
        <v>73.397876890646884</v>
      </c>
      <c r="E10" s="9">
        <v>73.739094811465733</v>
      </c>
      <c r="F10" s="9">
        <v>81.697270873542081</v>
      </c>
      <c r="G10" s="158">
        <v>4.2679256220882698</v>
      </c>
    </row>
    <row r="11" spans="1:8" ht="18.75">
      <c r="A11" s="192"/>
      <c r="B11" s="21" t="s">
        <v>17</v>
      </c>
      <c r="C11" s="135">
        <v>1.7470076166666662</v>
      </c>
      <c r="D11" s="10">
        <v>-8.7345630589583223</v>
      </c>
      <c r="E11" s="10">
        <v>-23.852170281010423</v>
      </c>
      <c r="F11" s="10">
        <v>-3.3604039060333055</v>
      </c>
      <c r="G11" s="159">
        <v>-25.721097271419112</v>
      </c>
    </row>
    <row r="12" spans="1:8">
      <c r="A12" s="192"/>
      <c r="B12" s="22" t="s">
        <v>18</v>
      </c>
      <c r="C12" s="160">
        <v>4.0524386226746957E-6</v>
      </c>
      <c r="D12" s="61">
        <v>0.33488102037053591</v>
      </c>
      <c r="E12" s="62">
        <v>9.682483402992289E-5</v>
      </c>
      <c r="F12" s="58">
        <v>0.25593689126381713</v>
      </c>
      <c r="G12" s="161">
        <v>2.5659116401289482E-4</v>
      </c>
    </row>
    <row r="13" spans="1:8" ht="18.75">
      <c r="A13" s="192"/>
      <c r="B13" s="23" t="s">
        <v>19</v>
      </c>
      <c r="C13" s="162">
        <v>80.422424250335425</v>
      </c>
      <c r="D13" s="33">
        <v>96.836764860649524</v>
      </c>
      <c r="E13" s="112">
        <v>88.211098176129497</v>
      </c>
      <c r="F13" s="33">
        <v>5.7458113479186679</v>
      </c>
      <c r="G13" s="113">
        <v>5.9698837015194819</v>
      </c>
    </row>
    <row r="14" spans="1:8" ht="18.75">
      <c r="A14" s="192"/>
      <c r="B14" s="21" t="s">
        <v>20</v>
      </c>
      <c r="C14" s="163">
        <v>11.968004869648073</v>
      </c>
      <c r="D14" s="34">
        <v>5.0673593475086944</v>
      </c>
      <c r="E14" s="11">
        <v>-8.6256666845200272</v>
      </c>
      <c r="F14" s="34">
        <v>0.32454933285011972</v>
      </c>
      <c r="G14" s="137">
        <v>0.22407235360081401</v>
      </c>
    </row>
    <row r="15" spans="1:8" ht="16.5" thickBot="1">
      <c r="A15" s="195"/>
      <c r="B15" s="26" t="s">
        <v>21</v>
      </c>
      <c r="C15" s="165">
        <v>0.14171258949924748</v>
      </c>
      <c r="D15" s="59">
        <v>4.1140610631013548E-2</v>
      </c>
      <c r="E15" s="121">
        <v>2.1949018668802772E-4</v>
      </c>
      <c r="F15" s="59">
        <v>9.7574978116500746E-2</v>
      </c>
      <c r="G15" s="143">
        <v>0.24439027142837999</v>
      </c>
    </row>
    <row r="16" spans="1:8" ht="18.75">
      <c r="A16" s="194" t="s">
        <v>9</v>
      </c>
      <c r="B16" s="24" t="s">
        <v>16</v>
      </c>
      <c r="C16" s="166">
        <v>5.5881434086595458</v>
      </c>
      <c r="D16" s="60">
        <v>39.971711162579936</v>
      </c>
      <c r="E16" s="19">
        <v>21.286134323937688</v>
      </c>
      <c r="F16" s="19">
        <v>68.060393537337077</v>
      </c>
      <c r="G16" s="167">
        <v>0.69562829189419251</v>
      </c>
    </row>
    <row r="17" spans="1:7" ht="18.75">
      <c r="A17" s="192"/>
      <c r="B17" s="21" t="s">
        <v>17</v>
      </c>
      <c r="C17" s="135">
        <v>0.84139593333333362</v>
      </c>
      <c r="D17" s="10">
        <v>7.1323019925606248</v>
      </c>
      <c r="E17" s="10">
        <v>-76.685494525155676</v>
      </c>
      <c r="F17" s="10">
        <v>1.4936568148957348</v>
      </c>
      <c r="G17" s="159">
        <v>-77.291851958788328</v>
      </c>
    </row>
    <row r="18" spans="1:7">
      <c r="A18" s="192"/>
      <c r="B18" s="22" t="s">
        <v>18</v>
      </c>
      <c r="C18" s="160">
        <v>4.8744054464432925E-2</v>
      </c>
      <c r="D18" s="61">
        <v>0.64268371716581174</v>
      </c>
      <c r="E18" s="62">
        <v>1.2844284164098925E-2</v>
      </c>
      <c r="F18" s="58">
        <v>0.78342890296500389</v>
      </c>
      <c r="G18" s="161">
        <v>1.6665789725625185E-2</v>
      </c>
    </row>
    <row r="19" spans="1:7" ht="18.75">
      <c r="A19" s="192"/>
      <c r="B19" s="23" t="s">
        <v>19</v>
      </c>
      <c r="C19" s="162">
        <v>37.310606062917991</v>
      </c>
      <c r="D19" s="33">
        <v>91.29996064855338</v>
      </c>
      <c r="E19" s="112">
        <v>86.032875831800837</v>
      </c>
      <c r="F19" s="33">
        <v>3.0633422445183021</v>
      </c>
      <c r="G19" s="113">
        <v>3.4824076861778495</v>
      </c>
    </row>
    <row r="20" spans="1:7" ht="18.75">
      <c r="A20" s="192"/>
      <c r="B20" s="21" t="s">
        <v>20</v>
      </c>
      <c r="C20" s="163">
        <v>2.7462230805379595</v>
      </c>
      <c r="D20" s="34">
        <v>-2.3557770390028581</v>
      </c>
      <c r="E20" s="11">
        <v>-5.2670848167525435</v>
      </c>
      <c r="F20" s="34">
        <v>9.6449503112645413E-2</v>
      </c>
      <c r="G20" s="137">
        <v>0.4190654416595474</v>
      </c>
    </row>
    <row r="21" spans="1:7" ht="16.5" thickBot="1">
      <c r="A21" s="193"/>
      <c r="B21" s="25" t="s">
        <v>21</v>
      </c>
      <c r="C21" s="164">
        <v>0.61553202681663177</v>
      </c>
      <c r="D21" s="63">
        <v>0.376725534791995</v>
      </c>
      <c r="E21" s="89">
        <v>8.5666495221438974E-2</v>
      </c>
      <c r="F21" s="63">
        <v>0.66052256476064075</v>
      </c>
      <c r="G21" s="141">
        <v>4.6236264684095335E-2</v>
      </c>
    </row>
    <row r="22" spans="1:7" ht="18.75">
      <c r="A22" s="191"/>
      <c r="B22" s="20" t="s">
        <v>16</v>
      </c>
      <c r="C22" s="157">
        <v>0.53884327250449948</v>
      </c>
      <c r="D22" s="55">
        <v>107.35516307614449</v>
      </c>
      <c r="E22" s="9">
        <v>54.753039230219478</v>
      </c>
      <c r="F22" s="9">
        <v>94.255487673690013</v>
      </c>
      <c r="G22" s="158">
        <v>10.701034532414685</v>
      </c>
    </row>
    <row r="23" spans="1:7" ht="18.75">
      <c r="A23" s="192"/>
      <c r="B23" s="21" t="s">
        <v>17</v>
      </c>
      <c r="C23" s="135">
        <v>1.1636513444444436</v>
      </c>
      <c r="D23" s="10">
        <v>12.187734742348379</v>
      </c>
      <c r="E23" s="10">
        <v>-42.455186518308466</v>
      </c>
      <c r="F23" s="10">
        <v>0.82476094698311231</v>
      </c>
      <c r="G23" s="159">
        <v>-58.527213166495869</v>
      </c>
    </row>
    <row r="24" spans="1:7">
      <c r="A24" s="192"/>
      <c r="B24" s="22" t="s">
        <v>18</v>
      </c>
      <c r="C24" s="160">
        <v>1.7626267816566892E-3</v>
      </c>
      <c r="D24" s="61">
        <v>0.17647168030811089</v>
      </c>
      <c r="E24" s="62">
        <v>2.2234370866293273E-2</v>
      </c>
      <c r="F24" s="58">
        <v>0.44937779846929959</v>
      </c>
      <c r="G24" s="161">
        <v>6.5780647263599494E-3</v>
      </c>
    </row>
    <row r="25" spans="1:7" ht="18.75">
      <c r="A25" s="192"/>
      <c r="B25" s="23" t="s">
        <v>19</v>
      </c>
      <c r="C25" s="162">
        <v>95.69242424111475</v>
      </c>
      <c r="D25" s="33">
        <v>95.148521504270249</v>
      </c>
      <c r="E25" s="112">
        <v>85.623887379730732</v>
      </c>
      <c r="F25" s="33">
        <v>25.802545113196413</v>
      </c>
      <c r="G25" s="113">
        <v>27.481782350026215</v>
      </c>
    </row>
    <row r="26" spans="1:7" ht="18.75">
      <c r="A26" s="192"/>
      <c r="B26" s="21" t="s">
        <v>20</v>
      </c>
      <c r="C26" s="163">
        <v>4.7133785002663657</v>
      </c>
      <c r="D26" s="34">
        <v>-0.23487578081241497</v>
      </c>
      <c r="E26" s="11">
        <v>-9.5246341245395172</v>
      </c>
      <c r="F26" s="34">
        <v>-2.3444906166940126E-2</v>
      </c>
      <c r="G26" s="115">
        <v>1.6792372368298025</v>
      </c>
    </row>
    <row r="27" spans="1:7" ht="16.5" thickBot="1">
      <c r="A27" s="195"/>
      <c r="B27" s="26" t="s">
        <v>21</v>
      </c>
      <c r="C27" s="165">
        <v>0.57966301260362896</v>
      </c>
      <c r="D27" s="59">
        <v>0.85510464106221007</v>
      </c>
      <c r="E27" s="121">
        <v>2.7740030670893464E-3</v>
      </c>
      <c r="F27" s="59">
        <v>0.96512920149455883</v>
      </c>
      <c r="G27" s="168">
        <v>2.4888915705554123E-2</v>
      </c>
    </row>
    <row r="28" spans="1:7" ht="18.75">
      <c r="A28" s="194" t="s">
        <v>10</v>
      </c>
      <c r="B28" s="24" t="s">
        <v>16</v>
      </c>
      <c r="C28" s="166">
        <v>10.81279657973047</v>
      </c>
      <c r="D28" s="60">
        <v>97.193772553198954</v>
      </c>
      <c r="E28" s="19">
        <v>25.247285056479853</v>
      </c>
      <c r="F28" s="19">
        <v>94.911624372158741</v>
      </c>
      <c r="G28" s="167">
        <v>8.7019568872314146</v>
      </c>
    </row>
    <row r="29" spans="1:7" ht="18.75">
      <c r="A29" s="192"/>
      <c r="B29" s="21" t="s">
        <v>17</v>
      </c>
      <c r="C29" s="135">
        <v>0.84077344444444435</v>
      </c>
      <c r="D29" s="10">
        <v>-5.1195844806721329</v>
      </c>
      <c r="E29" s="10">
        <v>-72.0534414798135</v>
      </c>
      <c r="F29" s="10">
        <v>-0.49500120387444635</v>
      </c>
      <c r="G29" s="159">
        <v>-71.982190644713299</v>
      </c>
    </row>
    <row r="30" spans="1:7">
      <c r="A30" s="192"/>
      <c r="B30" s="22" t="s">
        <v>18</v>
      </c>
      <c r="C30" s="160">
        <v>6.4327988237107621E-5</v>
      </c>
      <c r="D30" s="61">
        <v>0.41437116371105531</v>
      </c>
      <c r="E30" s="62">
        <v>5.1035299109040699E-3</v>
      </c>
      <c r="F30" s="58">
        <v>0.42638043845410978</v>
      </c>
      <c r="G30" s="161">
        <v>5.329065298434155E-3</v>
      </c>
    </row>
    <row r="31" spans="1:7" ht="18.75">
      <c r="A31" s="192"/>
      <c r="B31" s="23" t="s">
        <v>19</v>
      </c>
      <c r="C31" s="162">
        <v>102.43818181150338</v>
      </c>
      <c r="D31" s="33">
        <v>90.341302805649946</v>
      </c>
      <c r="E31" s="112">
        <v>82.106021647079373</v>
      </c>
      <c r="F31" s="33">
        <v>31.058662641622387</v>
      </c>
      <c r="G31" s="113">
        <v>30.349905710151891</v>
      </c>
    </row>
    <row r="32" spans="1:7" ht="18.75">
      <c r="A32" s="192"/>
      <c r="B32" s="21" t="s">
        <v>20</v>
      </c>
      <c r="C32" s="163">
        <v>3.9372231646972922</v>
      </c>
      <c r="D32" s="34">
        <v>0.92278535725871846</v>
      </c>
      <c r="E32" s="11">
        <v>-8.2352811585705723</v>
      </c>
      <c r="F32" s="34">
        <v>-0.65996644504077095</v>
      </c>
      <c r="G32" s="115">
        <v>-0.70875693147049645</v>
      </c>
    </row>
    <row r="33" spans="1:15" ht="16.5" thickBot="1">
      <c r="A33" s="193"/>
      <c r="B33" s="25" t="s">
        <v>21</v>
      </c>
      <c r="C33" s="164">
        <v>0.62368555079088095</v>
      </c>
      <c r="D33" s="169">
        <v>0.34463341411954296</v>
      </c>
      <c r="E33" s="117">
        <v>5.1023355239241963E-5</v>
      </c>
      <c r="F33" s="63">
        <v>0.34794016070047995</v>
      </c>
      <c r="G33" s="118">
        <v>7.6461587519137106E-2</v>
      </c>
    </row>
    <row r="34" spans="1:15" ht="18.75">
      <c r="A34" s="194"/>
      <c r="B34" s="24" t="s">
        <v>16</v>
      </c>
      <c r="C34" s="157">
        <v>21.27180407577136</v>
      </c>
      <c r="D34" s="55">
        <v>55.877545582671701</v>
      </c>
      <c r="E34" s="9">
        <v>119.81989199063514</v>
      </c>
      <c r="F34" s="9">
        <v>88.910185429653623</v>
      </c>
      <c r="G34" s="158">
        <v>9.511120865610831</v>
      </c>
    </row>
    <row r="35" spans="1:15" ht="18.75">
      <c r="A35" s="192"/>
      <c r="B35" s="21" t="s">
        <v>17</v>
      </c>
      <c r="C35" s="135">
        <v>1.1176727666666757</v>
      </c>
      <c r="D35" s="10">
        <v>-6.4246201826205382</v>
      </c>
      <c r="E35" s="10">
        <v>48.646397683045414</v>
      </c>
      <c r="F35" s="10">
        <v>0.75685197119114545</v>
      </c>
      <c r="G35" s="159">
        <v>49.607251715584034</v>
      </c>
    </row>
    <row r="36" spans="1:15">
      <c r="A36" s="192"/>
      <c r="B36" s="22" t="s">
        <v>18</v>
      </c>
      <c r="C36" s="160">
        <v>3.0628238656961622E-4</v>
      </c>
      <c r="D36" s="61">
        <v>0.61700981053075177</v>
      </c>
      <c r="E36" s="62">
        <v>2.1798290026391078E-4</v>
      </c>
      <c r="F36" s="58">
        <v>0.71368263642424923</v>
      </c>
      <c r="G36" s="161">
        <v>4.9745405443860373E-4</v>
      </c>
    </row>
    <row r="37" spans="1:15" ht="18.75">
      <c r="A37" s="192"/>
      <c r="B37" s="23" t="s">
        <v>19</v>
      </c>
      <c r="C37" s="162">
        <v>59.713939384185906</v>
      </c>
      <c r="D37" s="33">
        <v>80.607329782806957</v>
      </c>
      <c r="E37" s="112">
        <v>71.61247122767476</v>
      </c>
      <c r="F37" s="33">
        <v>6.3573929448903135</v>
      </c>
      <c r="G37" s="113">
        <v>6.3724276312080876</v>
      </c>
    </row>
    <row r="38" spans="1:15" ht="18.75">
      <c r="A38" s="192"/>
      <c r="B38" s="21" t="s">
        <v>20</v>
      </c>
      <c r="C38" s="163">
        <v>-6.9101425994357566</v>
      </c>
      <c r="D38" s="34">
        <v>2.7828572537307701</v>
      </c>
      <c r="E38" s="11">
        <v>-8.9948585551321969</v>
      </c>
      <c r="F38" s="34">
        <v>-0.27561843197485819</v>
      </c>
      <c r="G38" s="115">
        <v>1.503468631777416E-2</v>
      </c>
    </row>
    <row r="39" spans="1:15" ht="16.5" thickBot="1">
      <c r="A39" s="193"/>
      <c r="B39" s="25" t="s">
        <v>21</v>
      </c>
      <c r="C39" s="165">
        <v>0.10212159549265085</v>
      </c>
      <c r="D39" s="59">
        <v>9.8460432977224205E-2</v>
      </c>
      <c r="E39" s="121">
        <v>4.0220982625660464E-4</v>
      </c>
      <c r="F39" s="59">
        <v>0.15409833467302958</v>
      </c>
      <c r="G39" s="122">
        <v>0.93252988110336266</v>
      </c>
    </row>
    <row r="40" spans="1:15" ht="18.75">
      <c r="A40" s="191"/>
      <c r="B40" s="20" t="s">
        <v>16</v>
      </c>
      <c r="C40" s="166">
        <v>23.572873142234609</v>
      </c>
      <c r="D40" s="60">
        <v>48.278306144912143</v>
      </c>
      <c r="E40" s="19">
        <v>51.733055017996804</v>
      </c>
      <c r="F40" s="19">
        <v>87.80199932551173</v>
      </c>
      <c r="G40" s="167">
        <v>3.1403680369362519</v>
      </c>
    </row>
    <row r="41" spans="1:15" ht="18.75">
      <c r="A41" s="192"/>
      <c r="B41" s="21" t="s">
        <v>17</v>
      </c>
      <c r="C41" s="135">
        <v>1.0677910333333323</v>
      </c>
      <c r="D41" s="10">
        <v>-6.4621105099234448</v>
      </c>
      <c r="E41" s="10">
        <v>-45.88396994152383</v>
      </c>
      <c r="F41" s="10">
        <v>1.322993116262118</v>
      </c>
      <c r="G41" s="159">
        <v>-45.744105722145299</v>
      </c>
    </row>
    <row r="42" spans="1:15">
      <c r="A42" s="192"/>
      <c r="B42" s="22" t="s">
        <v>18</v>
      </c>
      <c r="C42" s="160">
        <v>2.7208649125071583E-3</v>
      </c>
      <c r="D42" s="61">
        <v>0.6493078792629261</v>
      </c>
      <c r="E42" s="62">
        <v>7.67527057783279E-3</v>
      </c>
      <c r="F42" s="58">
        <v>0.4915645992337131</v>
      </c>
      <c r="G42" s="161">
        <v>5.0915617535578156E-3</v>
      </c>
    </row>
    <row r="43" spans="1:15" ht="18.75">
      <c r="A43" s="192"/>
      <c r="B43" s="23" t="s">
        <v>19</v>
      </c>
      <c r="C43" s="162">
        <v>51.613636365009064</v>
      </c>
      <c r="D43" s="33">
        <v>95.596544983243604</v>
      </c>
      <c r="E43" s="112">
        <v>95.102269706255029</v>
      </c>
      <c r="F43" s="33">
        <v>5.7880679670559534</v>
      </c>
      <c r="G43" s="113">
        <v>6.1054893255663547</v>
      </c>
    </row>
    <row r="44" spans="1:15" ht="18.75">
      <c r="A44" s="192"/>
      <c r="B44" s="21" t="s">
        <v>20</v>
      </c>
      <c r="C44" s="163">
        <v>-1.1096167426582331</v>
      </c>
      <c r="D44" s="34">
        <v>4.2667119261096814E-2</v>
      </c>
      <c r="E44" s="11">
        <v>-0.49427527698857432</v>
      </c>
      <c r="F44" s="34">
        <v>-0.14993387048255283</v>
      </c>
      <c r="G44" s="137">
        <v>0.31742135851040132</v>
      </c>
    </row>
    <row r="45" spans="1:15" ht="16.5" thickBot="1">
      <c r="A45" s="193"/>
      <c r="B45" s="25" t="s">
        <v>21</v>
      </c>
      <c r="C45" s="165">
        <v>0.8369688101655044</v>
      </c>
      <c r="D45" s="64">
        <v>0.98385669843928514</v>
      </c>
      <c r="E45" s="121">
        <v>0.57391940989689783</v>
      </c>
      <c r="F45" s="59">
        <v>0.29631070260365711</v>
      </c>
      <c r="G45" s="143">
        <v>0.10392729673310186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23.496653796796974</v>
      </c>
      <c r="E49" s="100">
        <f>C5</f>
        <v>1.2256704166666665</v>
      </c>
      <c r="F49" s="97">
        <f>C6</f>
        <v>3.0294494659612752E-4</v>
      </c>
      <c r="G49" s="100">
        <f>C7</f>
        <v>94.924545457579839</v>
      </c>
      <c r="H49" s="100">
        <f>C8</f>
        <v>-1.3962382389978625</v>
      </c>
      <c r="I49" s="97">
        <f>C9</f>
        <v>0.85008278226853839</v>
      </c>
    </row>
    <row r="50" spans="1:9">
      <c r="A50" s="65">
        <v>26</v>
      </c>
      <c r="B50" s="98">
        <v>13</v>
      </c>
      <c r="C50" s="99">
        <v>52</v>
      </c>
      <c r="D50" s="100">
        <f>D4</f>
        <v>88.215094598371181</v>
      </c>
      <c r="E50" s="100">
        <f>D5</f>
        <v>-7.0681938237007431</v>
      </c>
      <c r="F50" s="97">
        <f>D6</f>
        <v>0.54480751251953441</v>
      </c>
      <c r="G50" s="100">
        <f>D7</f>
        <v>68.876747089744953</v>
      </c>
      <c r="H50" s="100">
        <f>D8</f>
        <v>-0.32767322879877664</v>
      </c>
      <c r="I50" s="97">
        <f>D9</f>
        <v>0.58888971630921205</v>
      </c>
    </row>
    <row r="51" spans="1:9">
      <c r="A51" s="65">
        <v>26</v>
      </c>
      <c r="B51" s="98">
        <v>13</v>
      </c>
      <c r="C51" s="99">
        <v>54</v>
      </c>
      <c r="D51" s="100">
        <f>E4</f>
        <v>42.717322483431232</v>
      </c>
      <c r="E51" s="100">
        <f>E5</f>
        <v>-37.980052356753355</v>
      </c>
      <c r="F51" s="97">
        <f>E6</f>
        <v>2.7135672980087094E-4</v>
      </c>
      <c r="G51" s="100">
        <f>E7</f>
        <v>56.143621380482401</v>
      </c>
      <c r="H51" s="100">
        <f>E8</f>
        <v>-12.733125709262552</v>
      </c>
      <c r="I51" s="97">
        <f>E9</f>
        <v>3.1107950464944389E-4</v>
      </c>
    </row>
    <row r="52" spans="1:9">
      <c r="A52" s="65">
        <v>26</v>
      </c>
      <c r="B52" s="98">
        <v>13</v>
      </c>
      <c r="C52" s="101">
        <v>55</v>
      </c>
      <c r="D52" s="100">
        <f>F4</f>
        <v>96.323971501857159</v>
      </c>
      <c r="E52" s="100">
        <f>F5</f>
        <v>-0.80121696497143058</v>
      </c>
      <c r="F52" s="97">
        <f>F6</f>
        <v>0.70334575785299369</v>
      </c>
      <c r="G52" s="100">
        <f>F7</f>
        <v>4.687643286462297</v>
      </c>
      <c r="H52" s="100">
        <f>F8</f>
        <v>-0.81606700095449836</v>
      </c>
      <c r="I52" s="97">
        <f>F9</f>
        <v>1.2141697916974209E-5</v>
      </c>
    </row>
    <row r="53" spans="1:9">
      <c r="A53" s="65">
        <v>26</v>
      </c>
      <c r="B53" s="98">
        <v>13</v>
      </c>
      <c r="C53" s="101">
        <v>56</v>
      </c>
      <c r="D53" s="100">
        <f>G4</f>
        <v>2.9037335491991891</v>
      </c>
      <c r="E53" s="100">
        <f>G5</f>
        <v>-38.055577787135782</v>
      </c>
      <c r="F53" s="97">
        <f>G6</f>
        <v>6.5722415530720913E-4</v>
      </c>
      <c r="G53" s="100">
        <f>G7</f>
        <v>4.6723420760713585</v>
      </c>
      <c r="H53" s="100">
        <f>G8</f>
        <v>-1.5301210390938458E-2</v>
      </c>
      <c r="I53" s="97">
        <f>G9</f>
        <v>0.92233265856857372</v>
      </c>
    </row>
    <row r="54" spans="1:9">
      <c r="A54" s="65">
        <v>26</v>
      </c>
      <c r="B54" s="98">
        <v>14</v>
      </c>
      <c r="C54" s="99">
        <v>51</v>
      </c>
      <c r="D54" s="100">
        <f>C10</f>
        <v>15.555102596846879</v>
      </c>
      <c r="E54" s="100">
        <f>C11</f>
        <v>1.7470076166666662</v>
      </c>
      <c r="F54" s="97">
        <f>C12</f>
        <v>4.0524386226746957E-6</v>
      </c>
      <c r="G54" s="100">
        <f>C13</f>
        <v>80.422424250335425</v>
      </c>
      <c r="H54" s="100">
        <f>C14</f>
        <v>11.968004869648073</v>
      </c>
      <c r="I54" s="97">
        <f>C15</f>
        <v>0.14171258949924748</v>
      </c>
    </row>
    <row r="55" spans="1:9">
      <c r="A55" s="65">
        <v>26</v>
      </c>
      <c r="B55" s="98">
        <v>14</v>
      </c>
      <c r="C55" s="99">
        <v>52</v>
      </c>
      <c r="D55" s="100">
        <f>D10</f>
        <v>73.397876890646884</v>
      </c>
      <c r="E55" s="100">
        <f>D11</f>
        <v>-8.7345630589583223</v>
      </c>
      <c r="F55" s="97">
        <f>D12</f>
        <v>0.33488102037053591</v>
      </c>
      <c r="G55" s="100">
        <f>D13</f>
        <v>96.836764860649524</v>
      </c>
      <c r="H55" s="100">
        <f>D14</f>
        <v>5.0673593475086944</v>
      </c>
      <c r="I55" s="97">
        <f>D15</f>
        <v>4.1140610631013548E-2</v>
      </c>
    </row>
    <row r="56" spans="1:9">
      <c r="A56" s="65">
        <v>26</v>
      </c>
      <c r="B56" s="98">
        <v>14</v>
      </c>
      <c r="C56" s="99">
        <v>54</v>
      </c>
      <c r="D56" s="100">
        <f>E10</f>
        <v>73.739094811465733</v>
      </c>
      <c r="E56" s="100">
        <f>E11</f>
        <v>-23.852170281010423</v>
      </c>
      <c r="F56" s="97">
        <f>E12</f>
        <v>9.682483402992289E-5</v>
      </c>
      <c r="G56" s="100">
        <f>E13</f>
        <v>88.211098176129497</v>
      </c>
      <c r="H56" s="100">
        <f>E14</f>
        <v>-8.6256666845200272</v>
      </c>
      <c r="I56" s="97">
        <f>E15</f>
        <v>2.1949018668802772E-4</v>
      </c>
    </row>
    <row r="57" spans="1:9">
      <c r="A57" s="65">
        <v>26</v>
      </c>
      <c r="B57" s="98">
        <v>14</v>
      </c>
      <c r="C57" s="101">
        <v>55</v>
      </c>
      <c r="D57" s="100">
        <f>F10</f>
        <v>81.697270873542081</v>
      </c>
      <c r="E57" s="100">
        <f>F11</f>
        <v>-3.3604039060333055</v>
      </c>
      <c r="F57" s="97">
        <f>F12</f>
        <v>0.25593689126381713</v>
      </c>
      <c r="G57" s="100">
        <f>F13</f>
        <v>5.7458113479186679</v>
      </c>
      <c r="H57" s="100">
        <f>F14</f>
        <v>0.32454933285011972</v>
      </c>
      <c r="I57" s="97">
        <f>F15</f>
        <v>9.7574978116500746E-2</v>
      </c>
    </row>
    <row r="58" spans="1:9">
      <c r="A58" s="65">
        <v>26</v>
      </c>
      <c r="B58" s="98">
        <v>14</v>
      </c>
      <c r="C58" s="101">
        <v>56</v>
      </c>
      <c r="D58" s="100">
        <f>G10</f>
        <v>4.2679256220882698</v>
      </c>
      <c r="E58" s="100">
        <f>G11</f>
        <v>-25.721097271419112</v>
      </c>
      <c r="F58" s="97">
        <f>G12</f>
        <v>2.5659116401289482E-4</v>
      </c>
      <c r="G58" s="100">
        <f>G13</f>
        <v>5.9698837015194819</v>
      </c>
      <c r="H58" s="100">
        <f>G14</f>
        <v>0.22407235360081401</v>
      </c>
      <c r="I58" s="97">
        <f>G15</f>
        <v>0.24439027142837999</v>
      </c>
    </row>
    <row r="59" spans="1:9">
      <c r="A59" s="65">
        <v>26</v>
      </c>
      <c r="B59" s="98">
        <v>15</v>
      </c>
      <c r="C59" s="99">
        <v>51</v>
      </c>
      <c r="D59" s="100">
        <f>C16</f>
        <v>5.5881434086595458</v>
      </c>
      <c r="E59" s="100">
        <f>C17</f>
        <v>0.84139593333333362</v>
      </c>
      <c r="F59" s="97">
        <f>C18</f>
        <v>4.8744054464432925E-2</v>
      </c>
      <c r="G59" s="100">
        <f>C19</f>
        <v>37.310606062917991</v>
      </c>
      <c r="H59" s="100">
        <f>C20</f>
        <v>2.7462230805379595</v>
      </c>
      <c r="I59" s="97">
        <f>C21</f>
        <v>0.61553202681663177</v>
      </c>
    </row>
    <row r="60" spans="1:9">
      <c r="A60" s="65">
        <v>26</v>
      </c>
      <c r="B60" s="98">
        <v>15</v>
      </c>
      <c r="C60" s="99">
        <v>52</v>
      </c>
      <c r="D60" s="100">
        <f>D16</f>
        <v>39.971711162579936</v>
      </c>
      <c r="E60" s="100">
        <f>D17</f>
        <v>7.1323019925606248</v>
      </c>
      <c r="F60" s="97">
        <f>D18</f>
        <v>0.64268371716581174</v>
      </c>
      <c r="G60" s="100">
        <f>D19</f>
        <v>91.29996064855338</v>
      </c>
      <c r="H60" s="100">
        <f>D20</f>
        <v>-2.3557770390028581</v>
      </c>
      <c r="I60" s="97">
        <f>D21</f>
        <v>0.376725534791995</v>
      </c>
    </row>
    <row r="61" spans="1:9">
      <c r="A61" s="65">
        <v>26</v>
      </c>
      <c r="B61" s="98">
        <v>15</v>
      </c>
      <c r="C61" s="99">
        <v>54</v>
      </c>
      <c r="D61" s="100">
        <f>E16</f>
        <v>21.286134323937688</v>
      </c>
      <c r="E61" s="100">
        <f>E17</f>
        <v>-76.685494525155676</v>
      </c>
      <c r="F61" s="97">
        <f>E18</f>
        <v>1.2844284164098925E-2</v>
      </c>
      <c r="G61" s="100">
        <f>E19</f>
        <v>86.032875831800837</v>
      </c>
      <c r="H61" s="100">
        <f>E20</f>
        <v>-5.2670848167525435</v>
      </c>
      <c r="I61" s="97">
        <f>E21</f>
        <v>8.5666495221438974E-2</v>
      </c>
    </row>
    <row r="62" spans="1:9">
      <c r="A62" s="65">
        <v>26</v>
      </c>
      <c r="B62" s="98">
        <v>15</v>
      </c>
      <c r="C62" s="101">
        <v>55</v>
      </c>
      <c r="D62" s="102">
        <f>F16</f>
        <v>68.060393537337077</v>
      </c>
      <c r="E62" s="100">
        <f>F17</f>
        <v>1.4936568148957348</v>
      </c>
      <c r="F62" s="97">
        <f>F18</f>
        <v>0.78342890296500389</v>
      </c>
      <c r="G62" s="100">
        <f>F19</f>
        <v>3.0633422445183021</v>
      </c>
      <c r="H62" s="100">
        <f>F20</f>
        <v>9.6449503112645413E-2</v>
      </c>
      <c r="I62" s="97">
        <f>F21</f>
        <v>0.66052256476064075</v>
      </c>
    </row>
    <row r="63" spans="1:9">
      <c r="A63" s="65">
        <v>26</v>
      </c>
      <c r="B63" s="98">
        <v>15</v>
      </c>
      <c r="C63" s="101">
        <v>56</v>
      </c>
      <c r="D63" s="102">
        <f>G16</f>
        <v>0.69562829189419251</v>
      </c>
      <c r="E63" s="100">
        <f>G17</f>
        <v>-77.291851958788328</v>
      </c>
      <c r="F63" s="97">
        <f>G18</f>
        <v>1.6665789725625185E-2</v>
      </c>
      <c r="G63" s="100">
        <f>G19</f>
        <v>3.4824076861778495</v>
      </c>
      <c r="H63" s="100">
        <f>G20</f>
        <v>0.4190654416595474</v>
      </c>
      <c r="I63" s="97">
        <f>G21</f>
        <v>4.6236264684095335E-2</v>
      </c>
    </row>
    <row r="64" spans="1:9">
      <c r="A64" s="65">
        <v>26</v>
      </c>
      <c r="B64" s="98">
        <v>16</v>
      </c>
      <c r="C64" s="99">
        <v>51</v>
      </c>
      <c r="D64" s="100">
        <f>C22</f>
        <v>0.53884327250449948</v>
      </c>
      <c r="E64" s="103">
        <f>C23</f>
        <v>1.1636513444444436</v>
      </c>
      <c r="F64" s="104">
        <f>C24</f>
        <v>1.7626267816566892E-3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107.35516307614449</v>
      </c>
      <c r="E65" s="103">
        <f>D23</f>
        <v>12.187734742348379</v>
      </c>
      <c r="F65" s="104">
        <f>D24</f>
        <v>0.17647168030811089</v>
      </c>
      <c r="G65" s="100">
        <f>D25</f>
        <v>95.148521504270249</v>
      </c>
      <c r="H65" s="100">
        <f>D26</f>
        <v>-0.23487578081241497</v>
      </c>
      <c r="I65" s="97">
        <f>D27</f>
        <v>0.85510464106221007</v>
      </c>
    </row>
    <row r="66" spans="1:9">
      <c r="A66" s="65">
        <v>26</v>
      </c>
      <c r="B66" s="98">
        <v>16</v>
      </c>
      <c r="C66" s="99">
        <v>54</v>
      </c>
      <c r="D66" s="100">
        <f>E22</f>
        <v>54.753039230219478</v>
      </c>
      <c r="E66" s="103">
        <f>E23</f>
        <v>-42.455186518308466</v>
      </c>
      <c r="F66" s="104">
        <f>E24</f>
        <v>2.2234370866293273E-2</v>
      </c>
      <c r="G66" s="100">
        <f>E25</f>
        <v>85.623887379730732</v>
      </c>
      <c r="H66" s="100">
        <f>E26</f>
        <v>-9.5246341245395172</v>
      </c>
      <c r="I66" s="97">
        <f>E27</f>
        <v>2.7740030670893464E-3</v>
      </c>
    </row>
    <row r="67" spans="1:9">
      <c r="A67" s="65">
        <v>26</v>
      </c>
      <c r="B67" s="98">
        <v>16</v>
      </c>
      <c r="C67" s="101">
        <v>55</v>
      </c>
      <c r="D67" s="105">
        <f>F22</f>
        <v>94.255487673690013</v>
      </c>
      <c r="E67" s="106">
        <f>F23</f>
        <v>0.82476094698311231</v>
      </c>
      <c r="F67" s="107">
        <f>F24</f>
        <v>0.44937779846929959</v>
      </c>
      <c r="G67" s="100">
        <f>F25</f>
        <v>25.802545113196413</v>
      </c>
      <c r="H67" s="100">
        <f>F26</f>
        <v>-2.3444906166940126E-2</v>
      </c>
      <c r="I67" s="97">
        <f>F27</f>
        <v>0.96512920149455883</v>
      </c>
    </row>
    <row r="68" spans="1:9">
      <c r="A68" s="65">
        <v>26</v>
      </c>
      <c r="B68" s="98">
        <v>16</v>
      </c>
      <c r="C68" s="101">
        <v>56</v>
      </c>
      <c r="D68" s="108">
        <f>G22</f>
        <v>10.701034532414685</v>
      </c>
      <c r="E68" s="100">
        <f>G23</f>
        <v>-58.527213166495869</v>
      </c>
      <c r="F68" s="97">
        <f>G24</f>
        <v>6.5780647263599494E-3</v>
      </c>
      <c r="G68" s="100">
        <f>G25</f>
        <v>27.481782350026215</v>
      </c>
      <c r="H68" s="100">
        <f>G23</f>
        <v>-58.527213166495869</v>
      </c>
      <c r="I68" s="97">
        <f>G24</f>
        <v>6.5780647263599494E-3</v>
      </c>
    </row>
    <row r="69" spans="1:9">
      <c r="A69" s="65">
        <v>26</v>
      </c>
      <c r="B69" s="98">
        <v>17</v>
      </c>
      <c r="C69" s="99">
        <v>51</v>
      </c>
      <c r="D69" s="100">
        <f>C28</f>
        <v>10.81279657973047</v>
      </c>
      <c r="E69" s="103">
        <f>C29</f>
        <v>0.84077344444444435</v>
      </c>
      <c r="F69" s="104">
        <f>C30</f>
        <v>6.4327988237107621E-5</v>
      </c>
      <c r="G69" s="100">
        <f>C31</f>
        <v>102.43818181150338</v>
      </c>
      <c r="H69" s="100">
        <f>C32</f>
        <v>3.9372231646972922</v>
      </c>
      <c r="I69" s="97">
        <f>C33</f>
        <v>0.62368555079088095</v>
      </c>
    </row>
    <row r="70" spans="1:9">
      <c r="A70" s="65">
        <v>26</v>
      </c>
      <c r="B70" s="98">
        <v>17</v>
      </c>
      <c r="C70" s="99">
        <v>52</v>
      </c>
      <c r="D70" s="100">
        <f>D28</f>
        <v>97.193772553198954</v>
      </c>
      <c r="E70" s="103">
        <f>D29</f>
        <v>-5.1195844806721329</v>
      </c>
      <c r="F70" s="104">
        <f>D30</f>
        <v>0.41437116371105531</v>
      </c>
      <c r="G70" s="100">
        <f>D31</f>
        <v>90.341302805649946</v>
      </c>
      <c r="H70" s="100">
        <f>D32</f>
        <v>0.92278535725871846</v>
      </c>
      <c r="I70" s="97">
        <f>D33</f>
        <v>0.34463341411954296</v>
      </c>
    </row>
    <row r="71" spans="1:9">
      <c r="A71" s="65">
        <v>26</v>
      </c>
      <c r="B71" s="98">
        <v>17</v>
      </c>
      <c r="C71" s="99">
        <v>54</v>
      </c>
      <c r="D71" s="100">
        <f>E28</f>
        <v>25.247285056479853</v>
      </c>
      <c r="E71" s="103">
        <f>E29</f>
        <v>-72.0534414798135</v>
      </c>
      <c r="F71" s="104">
        <f>E30</f>
        <v>5.1035299109040699E-3</v>
      </c>
      <c r="G71" s="100">
        <f>E31</f>
        <v>82.106021647079373</v>
      </c>
      <c r="H71" s="100">
        <f>E32</f>
        <v>-8.2352811585705723</v>
      </c>
      <c r="I71" s="97">
        <f>E33</f>
        <v>5.1023355239241963E-5</v>
      </c>
    </row>
    <row r="72" spans="1:9">
      <c r="A72" s="65">
        <v>26</v>
      </c>
      <c r="B72" s="98">
        <v>17</v>
      </c>
      <c r="C72" s="101">
        <v>55</v>
      </c>
      <c r="D72" s="105">
        <f>F28</f>
        <v>94.911624372158741</v>
      </c>
      <c r="E72" s="106">
        <f>F29</f>
        <v>-0.49500120387444635</v>
      </c>
      <c r="F72" s="107">
        <f>F30</f>
        <v>0.42638043845410978</v>
      </c>
      <c r="G72" s="100">
        <f>F31</f>
        <v>31.058662641622387</v>
      </c>
      <c r="H72" s="100">
        <f>F32</f>
        <v>-0.65996644504077095</v>
      </c>
      <c r="I72" s="97">
        <f>F33</f>
        <v>0.34794016070047995</v>
      </c>
    </row>
    <row r="73" spans="1:9">
      <c r="A73" s="65">
        <v>26</v>
      </c>
      <c r="B73" s="98">
        <v>17</v>
      </c>
      <c r="C73" s="101">
        <v>56</v>
      </c>
      <c r="D73" s="108">
        <f>G28</f>
        <v>8.7019568872314146</v>
      </c>
      <c r="E73" s="100">
        <f>G29</f>
        <v>-71.982190644713299</v>
      </c>
      <c r="F73" s="97">
        <f>G30</f>
        <v>5.329065298434155E-3</v>
      </c>
      <c r="G73" s="100">
        <f>G31</f>
        <v>30.349905710151891</v>
      </c>
      <c r="H73" s="100">
        <f>G32</f>
        <v>-0.70875693147049645</v>
      </c>
      <c r="I73" s="97">
        <f>G33</f>
        <v>7.6461587519137106E-2</v>
      </c>
    </row>
    <row r="74" spans="1:9">
      <c r="A74" s="65">
        <v>26</v>
      </c>
      <c r="B74" s="98">
        <v>18</v>
      </c>
      <c r="C74" s="99">
        <v>51</v>
      </c>
      <c r="D74" s="100">
        <f>C34</f>
        <v>21.27180407577136</v>
      </c>
      <c r="E74" s="103">
        <f>C35</f>
        <v>1.1176727666666757</v>
      </c>
      <c r="F74" s="104">
        <f>C36</f>
        <v>3.0628238656961622E-4</v>
      </c>
      <c r="G74" s="100">
        <f>C37</f>
        <v>59.713939384185906</v>
      </c>
      <c r="H74" s="100">
        <f>C38</f>
        <v>-6.9101425994357566</v>
      </c>
      <c r="I74" s="97">
        <f>C39</f>
        <v>0.10212159549265085</v>
      </c>
    </row>
    <row r="75" spans="1:9">
      <c r="A75" s="65">
        <v>26</v>
      </c>
      <c r="B75" s="98">
        <v>18</v>
      </c>
      <c r="C75" s="99">
        <v>52</v>
      </c>
      <c r="D75" s="100">
        <f>D34</f>
        <v>55.877545582671701</v>
      </c>
      <c r="E75" s="103">
        <f>D35</f>
        <v>-6.4246201826205382</v>
      </c>
      <c r="F75" s="104">
        <f>D36</f>
        <v>0.61700981053075177</v>
      </c>
      <c r="G75" s="100">
        <f>D37</f>
        <v>80.607329782806957</v>
      </c>
      <c r="H75" s="100">
        <f>D38</f>
        <v>2.7828572537307701</v>
      </c>
      <c r="I75" s="97">
        <f>D39</f>
        <v>9.8460432977224205E-2</v>
      </c>
    </row>
    <row r="76" spans="1:9">
      <c r="A76" s="65">
        <v>26</v>
      </c>
      <c r="B76" s="98">
        <v>18</v>
      </c>
      <c r="C76" s="99">
        <v>54</v>
      </c>
      <c r="D76" s="100">
        <f>E34</f>
        <v>119.81989199063514</v>
      </c>
      <c r="E76" s="103">
        <f>E35</f>
        <v>48.646397683045414</v>
      </c>
      <c r="F76" s="104">
        <f>E36</f>
        <v>2.1798290026391078E-4</v>
      </c>
      <c r="G76" s="100">
        <f>E37</f>
        <v>71.61247122767476</v>
      </c>
      <c r="H76" s="100">
        <f>E38</f>
        <v>-8.9948585551321969</v>
      </c>
      <c r="I76" s="97">
        <f>E39</f>
        <v>4.0220982625660464E-4</v>
      </c>
    </row>
    <row r="77" spans="1:9">
      <c r="A77" s="65">
        <v>26</v>
      </c>
      <c r="B77" s="98">
        <v>18</v>
      </c>
      <c r="C77" s="101">
        <v>55</v>
      </c>
      <c r="D77" s="105">
        <f>F34</f>
        <v>88.910185429653623</v>
      </c>
      <c r="E77" s="106">
        <f>F35</f>
        <v>0.75685197119114545</v>
      </c>
      <c r="F77" s="107">
        <f>F36</f>
        <v>0.71368263642424923</v>
      </c>
      <c r="G77" s="100">
        <f>F37</f>
        <v>6.3573929448903135</v>
      </c>
      <c r="H77" s="100">
        <f>F38</f>
        <v>-0.27561843197485819</v>
      </c>
      <c r="I77" s="97">
        <f>F39</f>
        <v>0.15409833467302958</v>
      </c>
    </row>
    <row r="78" spans="1:9">
      <c r="A78" s="65">
        <v>26</v>
      </c>
      <c r="B78" s="98">
        <v>18</v>
      </c>
      <c r="C78" s="101">
        <v>56</v>
      </c>
      <c r="D78" s="108">
        <f>G34</f>
        <v>9.511120865610831</v>
      </c>
      <c r="E78" s="100">
        <f>G35</f>
        <v>49.607251715584034</v>
      </c>
      <c r="F78" s="97">
        <f>G36</f>
        <v>4.9745405443860373E-4</v>
      </c>
      <c r="G78" s="100">
        <f>G37</f>
        <v>6.3724276312080876</v>
      </c>
      <c r="H78" s="100">
        <f>G38</f>
        <v>1.503468631777416E-2</v>
      </c>
      <c r="I78" s="97">
        <f>G39</f>
        <v>0.93252988110336266</v>
      </c>
    </row>
    <row r="79" spans="1:9">
      <c r="A79" s="65">
        <v>26</v>
      </c>
      <c r="B79" s="98">
        <v>19</v>
      </c>
      <c r="C79" s="99">
        <v>51</v>
      </c>
      <c r="D79" s="100">
        <f>C40</f>
        <v>23.572873142234609</v>
      </c>
      <c r="E79" s="103">
        <f>C41</f>
        <v>1.0677910333333323</v>
      </c>
      <c r="F79" s="104">
        <f>C42</f>
        <v>2.7208649125071583E-3</v>
      </c>
      <c r="G79" s="100">
        <f>C43</f>
        <v>51.613636365009064</v>
      </c>
      <c r="H79" s="100">
        <f>C44</f>
        <v>-1.1096167426582331</v>
      </c>
      <c r="I79" s="97">
        <f>C45</f>
        <v>0.8369688101655044</v>
      </c>
    </row>
    <row r="80" spans="1:9">
      <c r="A80" s="65">
        <v>26</v>
      </c>
      <c r="B80" s="98">
        <v>19</v>
      </c>
      <c r="C80" s="99">
        <v>52</v>
      </c>
      <c r="D80" s="100">
        <f>D40</f>
        <v>48.278306144912143</v>
      </c>
      <c r="E80" s="100">
        <f>D41</f>
        <v>-6.4621105099234448</v>
      </c>
      <c r="F80" s="104">
        <f>D42</f>
        <v>0.6493078792629261</v>
      </c>
      <c r="G80" s="100">
        <f>D43</f>
        <v>95.596544983243604</v>
      </c>
      <c r="H80" s="100">
        <f>D44</f>
        <v>4.2667119261096814E-2</v>
      </c>
      <c r="I80" s="97">
        <f>D45</f>
        <v>0.98385669843928514</v>
      </c>
    </row>
    <row r="81" spans="1:9">
      <c r="A81" s="65">
        <v>26</v>
      </c>
      <c r="B81" s="98">
        <v>19</v>
      </c>
      <c r="C81" s="99">
        <v>54</v>
      </c>
      <c r="D81" s="100">
        <f>E40</f>
        <v>51.733055017996804</v>
      </c>
      <c r="E81" s="103">
        <f>E41</f>
        <v>-45.88396994152383</v>
      </c>
      <c r="F81" s="104">
        <f>E42</f>
        <v>7.67527057783279E-3</v>
      </c>
      <c r="G81" s="100">
        <f>E43</f>
        <v>95.102269706255029</v>
      </c>
      <c r="H81" s="100">
        <f>E44</f>
        <v>-0.49427527698857432</v>
      </c>
      <c r="I81" s="97">
        <f>E45</f>
        <v>0.57391940989689783</v>
      </c>
    </row>
    <row r="82" spans="1:9">
      <c r="A82" s="65">
        <v>26</v>
      </c>
      <c r="B82" s="98">
        <v>19</v>
      </c>
      <c r="C82" s="101">
        <v>55</v>
      </c>
      <c r="D82" s="105">
        <f>F40</f>
        <v>87.80199932551173</v>
      </c>
      <c r="E82" s="106">
        <f>F41</f>
        <v>1.322993116262118</v>
      </c>
      <c r="F82" s="107">
        <f>F42</f>
        <v>0.4915645992337131</v>
      </c>
      <c r="G82" s="100">
        <f>F43</f>
        <v>5.7880679670559534</v>
      </c>
      <c r="H82" s="100">
        <f>F44</f>
        <v>-0.14993387048255283</v>
      </c>
      <c r="I82" s="97">
        <f>F45</f>
        <v>0.29631070260365711</v>
      </c>
    </row>
    <row r="83" spans="1:9">
      <c r="A83" s="65">
        <v>26</v>
      </c>
      <c r="B83" s="98">
        <v>19</v>
      </c>
      <c r="C83" s="101">
        <v>56</v>
      </c>
      <c r="D83" s="108">
        <f>G40</f>
        <v>3.1403680369362519</v>
      </c>
      <c r="E83" s="106">
        <f>G41</f>
        <v>-45.744105722145299</v>
      </c>
      <c r="F83" s="109">
        <f>G42</f>
        <v>5.0915617535578156E-3</v>
      </c>
      <c r="G83" s="100">
        <f>G43</f>
        <v>6.1054893255663547</v>
      </c>
      <c r="H83" s="100">
        <f>G44</f>
        <v>0.31742135851040132</v>
      </c>
      <c r="I83" s="97">
        <f>G45</f>
        <v>0.10392729673310186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7"/>
  <dimension ref="A1:O83"/>
  <sheetViews>
    <sheetView topLeftCell="A40" workbookViewId="0">
      <selection activeCell="E47" sqref="E47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20.473215050810129</v>
      </c>
      <c r="D4" s="31">
        <v>112.27400000000003</v>
      </c>
      <c r="E4" s="30">
        <v>86.444012860943772</v>
      </c>
      <c r="F4" s="30">
        <v>97.52610107255299</v>
      </c>
      <c r="G4" s="130">
        <v>5.9064474516945866</v>
      </c>
    </row>
    <row r="5" spans="1:8" ht="18.75">
      <c r="A5" s="178"/>
      <c r="B5" s="21" t="s">
        <v>17</v>
      </c>
      <c r="C5" s="131">
        <v>0.96153359902945401</v>
      </c>
      <c r="D5" s="33">
        <v>-2.6732369299221292</v>
      </c>
      <c r="E5" s="34">
        <v>0.17920402932587054</v>
      </c>
      <c r="F5" s="34">
        <v>0.17920402932587054</v>
      </c>
      <c r="G5" s="132">
        <v>-0.57892675215353129</v>
      </c>
    </row>
    <row r="6" spans="1:8">
      <c r="A6" s="178"/>
      <c r="B6" s="22" t="s">
        <v>18</v>
      </c>
      <c r="C6" s="133">
        <v>5.7333480659368778E-4</v>
      </c>
      <c r="D6" s="37">
        <v>0.7721603371908845</v>
      </c>
      <c r="E6" s="37">
        <v>0.79279948923153409</v>
      </c>
      <c r="F6" s="37">
        <v>0.79279948923153409</v>
      </c>
      <c r="G6" s="134">
        <v>2.9251452288766204E-3</v>
      </c>
    </row>
    <row r="7" spans="1:8" ht="18.75">
      <c r="A7" s="178"/>
      <c r="B7" s="23" t="s">
        <v>19</v>
      </c>
      <c r="C7" s="78">
        <v>21.424218134143466</v>
      </c>
      <c r="D7" s="38">
        <v>109.28675892947599</v>
      </c>
      <c r="E7" s="112">
        <v>82.54301144460598</v>
      </c>
      <c r="F7" s="10">
        <v>97.675318877918798</v>
      </c>
      <c r="G7" s="113">
        <v>5.6596008408097731</v>
      </c>
    </row>
    <row r="8" spans="1:8" ht="18.75">
      <c r="A8" s="178"/>
      <c r="B8" s="21" t="s">
        <v>20</v>
      </c>
      <c r="C8" s="135">
        <v>0.95100308333333672</v>
      </c>
      <c r="D8" s="40">
        <v>-2.6606703871991995</v>
      </c>
      <c r="E8" s="136">
        <v>-3.9010014163377917</v>
      </c>
      <c r="F8" s="10">
        <v>0.15300294354513755</v>
      </c>
      <c r="G8" s="137">
        <v>-0.24684661088481352</v>
      </c>
    </row>
    <row r="9" spans="1:8" ht="16.5" thickBot="1">
      <c r="A9" s="179"/>
      <c r="B9" s="25" t="s">
        <v>21</v>
      </c>
      <c r="C9" s="146">
        <v>6.8502246837936435E-3</v>
      </c>
      <c r="D9" s="139">
        <v>0.77606689699293685</v>
      </c>
      <c r="E9" s="147">
        <v>5.7100714108252806E-2</v>
      </c>
      <c r="F9" s="47">
        <v>0.86186652661807761</v>
      </c>
      <c r="G9" s="141">
        <v>0.13346781541684527</v>
      </c>
    </row>
    <row r="10" spans="1:8" ht="18.75">
      <c r="A10" s="180" t="s">
        <v>2</v>
      </c>
      <c r="B10" s="20" t="s">
        <v>16</v>
      </c>
      <c r="C10" s="129">
        <v>11.199808601057979</v>
      </c>
      <c r="D10" s="31">
        <v>102.19933333333333</v>
      </c>
      <c r="E10" s="30">
        <v>95.689044899165623</v>
      </c>
      <c r="F10" s="30">
        <v>90.690363051937666</v>
      </c>
      <c r="G10" s="130">
        <v>6.0671592767756897</v>
      </c>
    </row>
    <row r="11" spans="1:8" ht="18.75">
      <c r="A11" s="178"/>
      <c r="B11" s="21" t="s">
        <v>17</v>
      </c>
      <c r="C11" s="131">
        <v>0.27139421159296134</v>
      </c>
      <c r="D11" s="33">
        <v>16.142869855394885</v>
      </c>
      <c r="E11" s="34">
        <v>3.9097696432903088</v>
      </c>
      <c r="F11" s="34">
        <v>3.9097696432903088</v>
      </c>
      <c r="G11" s="132">
        <v>0.31969777390992188</v>
      </c>
    </row>
    <row r="12" spans="1:8">
      <c r="A12" s="178"/>
      <c r="B12" s="22" t="s">
        <v>18</v>
      </c>
      <c r="C12" s="133">
        <v>0.26443691106580769</v>
      </c>
      <c r="D12" s="37">
        <v>3.725066323048104E-2</v>
      </c>
      <c r="E12" s="37">
        <v>7.0032663649811616E-2</v>
      </c>
      <c r="F12" s="37">
        <v>7.0032663649811616E-2</v>
      </c>
      <c r="G12" s="134">
        <v>2.31433494351568E-2</v>
      </c>
    </row>
    <row r="13" spans="1:8" ht="18.75">
      <c r="A13" s="178"/>
      <c r="B13" s="23" t="s">
        <v>19</v>
      </c>
      <c r="C13" s="78">
        <v>12.875028984391314</v>
      </c>
      <c r="D13" s="38">
        <v>101.77974756725172</v>
      </c>
      <c r="E13" s="112">
        <v>99.913919049960697</v>
      </c>
      <c r="F13" s="10">
        <v>90.303218194043126</v>
      </c>
      <c r="G13" s="113">
        <v>6.3003782236012702</v>
      </c>
    </row>
    <row r="14" spans="1:8" ht="18.75">
      <c r="A14" s="178"/>
      <c r="B14" s="21" t="s">
        <v>20</v>
      </c>
      <c r="C14" s="135">
        <v>1.6752203833333343</v>
      </c>
      <c r="D14" s="10">
        <v>-0.41055626528706562</v>
      </c>
      <c r="E14" s="11">
        <v>4.224874150795074</v>
      </c>
      <c r="F14" s="10">
        <v>-0.42688643519137981</v>
      </c>
      <c r="G14" s="137">
        <v>0.23321894682558053</v>
      </c>
    </row>
    <row r="15" spans="1:8" ht="16.5" thickBot="1">
      <c r="A15" s="181"/>
      <c r="B15" s="26" t="s">
        <v>21</v>
      </c>
      <c r="C15" s="149">
        <v>2.3157351134230598E-6</v>
      </c>
      <c r="D15" s="48">
        <v>0.96400134554599892</v>
      </c>
      <c r="E15" s="121">
        <v>2.0839239384436365E-4</v>
      </c>
      <c r="F15" s="43">
        <v>0.84106035865660789</v>
      </c>
      <c r="G15" s="143">
        <v>0.15121227183556474</v>
      </c>
    </row>
    <row r="16" spans="1:8" ht="18.75">
      <c r="A16" s="177" t="s">
        <v>3</v>
      </c>
      <c r="B16" s="24" t="s">
        <v>16</v>
      </c>
      <c r="C16" s="144">
        <v>1.3441777786993319</v>
      </c>
      <c r="D16" s="45">
        <v>44.293333333333329</v>
      </c>
      <c r="E16" s="44">
        <v>82.775062058387547</v>
      </c>
      <c r="F16" s="44">
        <v>75.126447538395226</v>
      </c>
      <c r="G16" s="145">
        <v>3.1220235178786706</v>
      </c>
    </row>
    <row r="17" spans="1:7" ht="18.75">
      <c r="A17" s="178"/>
      <c r="B17" s="21" t="s">
        <v>17</v>
      </c>
      <c r="C17" s="131">
        <v>1.3575202094232282</v>
      </c>
      <c r="D17" s="33">
        <v>1.3125695216907698</v>
      </c>
      <c r="E17" s="34">
        <v>5.3399384003655657</v>
      </c>
      <c r="F17" s="34">
        <v>5.3399384003655657</v>
      </c>
      <c r="G17" s="132">
        <v>0.30928437165760791</v>
      </c>
    </row>
    <row r="18" spans="1:7">
      <c r="A18" s="178"/>
      <c r="B18" s="22" t="s">
        <v>18</v>
      </c>
      <c r="C18" s="133">
        <v>2.6338242557720784E-2</v>
      </c>
      <c r="D18" s="37">
        <v>0.74706819319848361</v>
      </c>
      <c r="E18" s="37">
        <v>0.14725062973675407</v>
      </c>
      <c r="F18" s="37">
        <v>0.14725062973675407</v>
      </c>
      <c r="G18" s="134">
        <v>8.160769014597595E-2</v>
      </c>
    </row>
    <row r="19" spans="1:7" ht="18.75">
      <c r="A19" s="178"/>
      <c r="B19" s="23" t="s">
        <v>19</v>
      </c>
      <c r="C19" s="78">
        <v>2.6859438453659989</v>
      </c>
      <c r="D19" s="38">
        <v>43.281002685832668</v>
      </c>
      <c r="E19" s="112">
        <v>87.036230655538063</v>
      </c>
      <c r="F19" s="10">
        <v>74.913304304237471</v>
      </c>
      <c r="G19" s="113">
        <v>3.2974974930688878</v>
      </c>
    </row>
    <row r="20" spans="1:7" ht="18.75">
      <c r="A20" s="178"/>
      <c r="B20" s="21" t="s">
        <v>20</v>
      </c>
      <c r="C20" s="135">
        <v>1.3417660666666671</v>
      </c>
      <c r="D20" s="10">
        <v>-2.2855147068798756</v>
      </c>
      <c r="E20" s="11">
        <v>4.2611685971505153</v>
      </c>
      <c r="F20" s="10">
        <v>-0.28371264866320128</v>
      </c>
      <c r="G20" s="137">
        <v>0.17547397519021724</v>
      </c>
    </row>
    <row r="21" spans="1:7" ht="16.5" thickBot="1">
      <c r="A21" s="179"/>
      <c r="B21" s="25" t="s">
        <v>21</v>
      </c>
      <c r="C21" s="146">
        <v>9.5907420874500986E-3</v>
      </c>
      <c r="D21" s="46">
        <v>0.84545110743821161</v>
      </c>
      <c r="E21" s="89">
        <v>2.0768176404692834E-2</v>
      </c>
      <c r="F21" s="47">
        <v>0.93535842782769285</v>
      </c>
      <c r="G21" s="141">
        <v>0.28349568643373946</v>
      </c>
    </row>
    <row r="22" spans="1:7" ht="18.75">
      <c r="A22" s="180" t="s">
        <v>4</v>
      </c>
      <c r="B22" s="20" t="s">
        <v>16</v>
      </c>
      <c r="C22" s="129">
        <v>-3.7229207496719781</v>
      </c>
      <c r="D22" s="31">
        <v>118.89066666666668</v>
      </c>
      <c r="E22" s="30">
        <v>87.277710514074755</v>
      </c>
      <c r="F22" s="30">
        <v>96.956894666836448</v>
      </c>
      <c r="G22" s="130">
        <v>24.529380379304769</v>
      </c>
    </row>
    <row r="23" spans="1:7" ht="18.75">
      <c r="A23" s="178"/>
      <c r="B23" s="21" t="s">
        <v>17</v>
      </c>
      <c r="C23" s="131">
        <v>0.39764566530363921</v>
      </c>
      <c r="D23" s="33">
        <v>-2.5786874304783058</v>
      </c>
      <c r="E23" s="34">
        <v>-0.57824199944211718</v>
      </c>
      <c r="F23" s="34">
        <v>-0.57824199944211718</v>
      </c>
      <c r="G23" s="132">
        <v>0.60937354205557626</v>
      </c>
    </row>
    <row r="24" spans="1:7">
      <c r="A24" s="178"/>
      <c r="B24" s="22" t="s">
        <v>18</v>
      </c>
      <c r="C24" s="133">
        <v>0.4091759335315851</v>
      </c>
      <c r="D24" s="37">
        <v>0.73939440317770666</v>
      </c>
      <c r="E24" s="37">
        <v>0.41142731106350572</v>
      </c>
      <c r="F24" s="37">
        <v>0.41142731106350572</v>
      </c>
      <c r="G24" s="134">
        <v>0.48904788577315328</v>
      </c>
    </row>
    <row r="25" spans="1:7" ht="18.75">
      <c r="A25" s="178"/>
      <c r="B25" s="23" t="s">
        <v>19</v>
      </c>
      <c r="C25" s="78">
        <v>-2.1083623830053115</v>
      </c>
      <c r="D25" s="38">
        <v>137.04144438484275</v>
      </c>
      <c r="E25" s="112">
        <v>88.537690693601846</v>
      </c>
      <c r="F25" s="10">
        <v>96.551158116589704</v>
      </c>
      <c r="G25" s="113">
        <v>24.773923651622024</v>
      </c>
    </row>
    <row r="26" spans="1:7" ht="18.75">
      <c r="A26" s="178"/>
      <c r="B26" s="21" t="s">
        <v>20</v>
      </c>
      <c r="C26" s="135">
        <v>1.6145583666666667</v>
      </c>
      <c r="D26" s="10">
        <v>15.266781007347985</v>
      </c>
      <c r="E26" s="11">
        <v>1.2599801795270906</v>
      </c>
      <c r="F26" s="10">
        <v>-0.4184710655605689</v>
      </c>
      <c r="G26" s="115">
        <v>0.24454327231725514</v>
      </c>
    </row>
    <row r="27" spans="1:7" ht="16.5" thickBot="1">
      <c r="A27" s="181"/>
      <c r="B27" s="26" t="s">
        <v>21</v>
      </c>
      <c r="C27" s="149">
        <v>3.2220739341903724E-3</v>
      </c>
      <c r="D27" s="48">
        <v>2.3995653912510441E-2</v>
      </c>
      <c r="E27" s="121">
        <v>0.53805643569043715</v>
      </c>
      <c r="F27" s="43">
        <v>0.33405016927049369</v>
      </c>
      <c r="G27" s="122">
        <v>0.68257456583857656</v>
      </c>
    </row>
    <row r="28" spans="1:7" ht="18.75">
      <c r="A28" s="177" t="s">
        <v>5</v>
      </c>
      <c r="B28" s="24" t="s">
        <v>16</v>
      </c>
      <c r="C28" s="144">
        <v>8.6527295084618459</v>
      </c>
      <c r="D28" s="45">
        <v>127.15000000000002</v>
      </c>
      <c r="E28" s="44">
        <v>96.60556882322912</v>
      </c>
      <c r="F28" s="44">
        <v>97.998727518265312</v>
      </c>
      <c r="G28" s="145">
        <v>34.086512138962576</v>
      </c>
    </row>
    <row r="29" spans="1:7" ht="18.75">
      <c r="A29" s="178"/>
      <c r="B29" s="21" t="s">
        <v>17</v>
      </c>
      <c r="C29" s="131">
        <v>0.493165992497894</v>
      </c>
      <c r="D29" s="33">
        <v>5.3884315906562898</v>
      </c>
      <c r="E29" s="34">
        <v>-3.7201743331371204E-2</v>
      </c>
      <c r="F29" s="34">
        <v>-3.7201743331371204E-2</v>
      </c>
      <c r="G29" s="132">
        <v>-3.0300069890782242E-2</v>
      </c>
    </row>
    <row r="30" spans="1:7">
      <c r="A30" s="178"/>
      <c r="B30" s="22" t="s">
        <v>18</v>
      </c>
      <c r="C30" s="133">
        <v>7.3986396996573514E-2</v>
      </c>
      <c r="D30" s="37">
        <v>0.45938755734464964</v>
      </c>
      <c r="E30" s="49">
        <v>0.93849317490882589</v>
      </c>
      <c r="F30" s="49">
        <v>0.93849317490882589</v>
      </c>
      <c r="G30" s="134">
        <v>0.9377519911726544</v>
      </c>
    </row>
    <row r="31" spans="1:7" ht="18.75">
      <c r="A31" s="178"/>
      <c r="B31" s="23" t="s">
        <v>19</v>
      </c>
      <c r="C31" s="78">
        <v>9.5041247195729568</v>
      </c>
      <c r="D31" s="38">
        <v>123.10872984563005</v>
      </c>
      <c r="E31" s="112">
        <v>92.158857476111493</v>
      </c>
      <c r="F31" s="10">
        <v>97.72115778761011</v>
      </c>
      <c r="G31" s="113">
        <v>32.422241182148269</v>
      </c>
    </row>
    <row r="32" spans="1:7" ht="18.75">
      <c r="A32" s="178"/>
      <c r="B32" s="21" t="s">
        <v>20</v>
      </c>
      <c r="C32" s="135">
        <v>0.85139521111111094</v>
      </c>
      <c r="D32" s="10">
        <v>-3.1783485288005981</v>
      </c>
      <c r="E32" s="11">
        <v>-4.4467113471176276</v>
      </c>
      <c r="F32" s="10">
        <v>-0.28323809674311307</v>
      </c>
      <c r="G32" s="115">
        <v>-1.6642709568143061</v>
      </c>
    </row>
    <row r="33" spans="1:15" ht="16.5" thickBot="1">
      <c r="A33" s="179"/>
      <c r="B33" s="25" t="s">
        <v>21</v>
      </c>
      <c r="C33" s="146">
        <v>1.1010082940577106E-3</v>
      </c>
      <c r="D33" s="46">
        <v>0.65580563038943673</v>
      </c>
      <c r="E33" s="117">
        <v>2.7062272262376387E-3</v>
      </c>
      <c r="F33" s="47">
        <v>0.57519469125629441</v>
      </c>
      <c r="G33" s="118">
        <v>2.8251965213868173E-3</v>
      </c>
    </row>
    <row r="34" spans="1:15" ht="18.75">
      <c r="A34" s="177" t="s">
        <v>6</v>
      </c>
      <c r="B34" s="24" t="s">
        <v>16</v>
      </c>
      <c r="C34" s="129">
        <v>18.921466666327582</v>
      </c>
      <c r="D34" s="31">
        <v>70.454666666666668</v>
      </c>
      <c r="E34" s="30">
        <v>88.318986339662629</v>
      </c>
      <c r="F34" s="30">
        <v>83.399509157879891</v>
      </c>
      <c r="G34" s="130">
        <v>6.5836889743727891</v>
      </c>
    </row>
    <row r="35" spans="1:15" ht="18.75">
      <c r="A35" s="178"/>
      <c r="B35" s="21" t="s">
        <v>17</v>
      </c>
      <c r="C35" s="131">
        <v>0.51192584138558528</v>
      </c>
      <c r="D35" s="33">
        <v>-4.3337931034482748</v>
      </c>
      <c r="E35" s="34">
        <v>1.3097765914342887</v>
      </c>
      <c r="F35" s="34">
        <v>1.3097765914342887</v>
      </c>
      <c r="G35" s="132">
        <v>-0.16874605267005913</v>
      </c>
    </row>
    <row r="36" spans="1:15">
      <c r="A36" s="178"/>
      <c r="B36" s="22" t="s">
        <v>18</v>
      </c>
      <c r="C36" s="133">
        <v>0.18725340393782341</v>
      </c>
      <c r="D36" s="37">
        <v>0.50496218370183299</v>
      </c>
      <c r="E36" s="37">
        <v>0.63987513741779845</v>
      </c>
      <c r="F36" s="37">
        <v>0.63987513741779845</v>
      </c>
      <c r="G36" s="134">
        <v>0.55081888290106795</v>
      </c>
    </row>
    <row r="37" spans="1:15" ht="18.75">
      <c r="A37" s="178"/>
      <c r="B37" s="23" t="s">
        <v>19</v>
      </c>
      <c r="C37" s="78">
        <v>19.962994699660911</v>
      </c>
      <c r="D37" s="38">
        <v>72.921713682027942</v>
      </c>
      <c r="E37" s="112">
        <v>84.957739648791474</v>
      </c>
      <c r="F37" s="10">
        <v>82.186608078143522</v>
      </c>
      <c r="G37" s="113">
        <v>6.2268525207326855</v>
      </c>
    </row>
    <row r="38" spans="1:15" ht="18.75">
      <c r="A38" s="178"/>
      <c r="B38" s="21" t="s">
        <v>20</v>
      </c>
      <c r="C38" s="135">
        <v>1.0415280333333286</v>
      </c>
      <c r="D38" s="10">
        <v>3.5016090943035825</v>
      </c>
      <c r="E38" s="11">
        <v>-3.3612466908711554</v>
      </c>
      <c r="F38" s="10">
        <v>-1.454326400698938</v>
      </c>
      <c r="G38" s="115">
        <v>-0.35683645364010363</v>
      </c>
    </row>
    <row r="39" spans="1:15" ht="16.5" thickBot="1">
      <c r="A39" s="179"/>
      <c r="B39" s="25" t="s">
        <v>21</v>
      </c>
      <c r="C39" s="149">
        <v>1.1494525619830242E-3</v>
      </c>
      <c r="D39" s="48">
        <v>0.69425149496553673</v>
      </c>
      <c r="E39" s="121">
        <v>4.8021772695918882E-3</v>
      </c>
      <c r="F39" s="43">
        <v>0.71300963572434772</v>
      </c>
      <c r="G39" s="122">
        <v>0.17596858620882017</v>
      </c>
    </row>
    <row r="40" spans="1:15" ht="18.75">
      <c r="A40" s="180" t="s">
        <v>7</v>
      </c>
      <c r="B40" s="20" t="s">
        <v>16</v>
      </c>
      <c r="C40" s="144">
        <v>20.924279566652036</v>
      </c>
      <c r="D40" s="45">
        <v>64.666666666666671</v>
      </c>
      <c r="E40" s="44">
        <v>95.207654465389595</v>
      </c>
      <c r="F40" s="44">
        <v>80.946072542821085</v>
      </c>
      <c r="G40" s="145">
        <v>5.3950184252330144</v>
      </c>
    </row>
    <row r="41" spans="1:15" ht="18.75">
      <c r="A41" s="178"/>
      <c r="B41" s="21" t="s">
        <v>17</v>
      </c>
      <c r="C41" s="131">
        <v>1.0074835788924303</v>
      </c>
      <c r="D41" s="33">
        <v>4.9744160177975516</v>
      </c>
      <c r="E41" s="34">
        <v>-2.251164958492708</v>
      </c>
      <c r="F41" s="34">
        <v>-2.251164958492708</v>
      </c>
      <c r="G41" s="132">
        <v>-0.13983394025543328</v>
      </c>
    </row>
    <row r="42" spans="1:15">
      <c r="A42" s="178"/>
      <c r="B42" s="22" t="s">
        <v>18</v>
      </c>
      <c r="C42" s="133">
        <v>4.8184060034008663E-3</v>
      </c>
      <c r="D42" s="37">
        <v>0.50619706942910536</v>
      </c>
      <c r="E42" s="49">
        <v>0.48180296284324919</v>
      </c>
      <c r="F42" s="49">
        <v>0.48180296284324919</v>
      </c>
      <c r="G42" s="134">
        <v>0.53429578129818123</v>
      </c>
    </row>
    <row r="43" spans="1:15" ht="18.75">
      <c r="A43" s="178"/>
      <c r="B43" s="23" t="s">
        <v>19</v>
      </c>
      <c r="C43" s="78">
        <v>21.689849933318701</v>
      </c>
      <c r="D43" s="38">
        <v>63.409706162212309</v>
      </c>
      <c r="E43" s="112">
        <v>98.417045825450558</v>
      </c>
      <c r="F43" s="10">
        <v>81.621917308807966</v>
      </c>
      <c r="G43" s="113">
        <v>5.6214630334627653</v>
      </c>
    </row>
    <row r="44" spans="1:15" ht="18.75">
      <c r="A44" s="178"/>
      <c r="B44" s="21" t="s">
        <v>20</v>
      </c>
      <c r="C44" s="135">
        <v>0.76557036666666534</v>
      </c>
      <c r="D44" s="10">
        <v>-1.9437533574036505</v>
      </c>
      <c r="E44" s="11">
        <v>3.2093913600609625</v>
      </c>
      <c r="F44" s="10">
        <v>0.83493212796625582</v>
      </c>
      <c r="G44" s="137">
        <v>0.22644460822975088</v>
      </c>
    </row>
    <row r="45" spans="1:15" ht="16.5" thickBot="1">
      <c r="A45" s="179"/>
      <c r="B45" s="25" t="s">
        <v>21</v>
      </c>
      <c r="C45" s="149">
        <v>3.2311437897384075E-2</v>
      </c>
      <c r="D45" s="48">
        <v>0.86766978863754995</v>
      </c>
      <c r="E45" s="121">
        <v>5.0172056650572061E-2</v>
      </c>
      <c r="F45" s="43">
        <v>0.85515928755026027</v>
      </c>
      <c r="G45" s="143">
        <v>0.41593760714649863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20.473215050810129</v>
      </c>
      <c r="E49" s="100">
        <f>C5</f>
        <v>0.96153359902945401</v>
      </c>
      <c r="F49" s="97">
        <f>C6</f>
        <v>5.7333480659368778E-4</v>
      </c>
      <c r="G49" s="100">
        <f>C7</f>
        <v>21.424218134143466</v>
      </c>
      <c r="H49" s="100">
        <f>C8</f>
        <v>0.95100308333333672</v>
      </c>
      <c r="I49" s="97">
        <f>C9</f>
        <v>6.8502246837936435E-3</v>
      </c>
    </row>
    <row r="50" spans="1:9">
      <c r="A50" s="65">
        <v>26</v>
      </c>
      <c r="B50" s="98">
        <v>13</v>
      </c>
      <c r="C50" s="99">
        <v>52</v>
      </c>
      <c r="D50" s="100">
        <f>D4</f>
        <v>112.27400000000003</v>
      </c>
      <c r="E50" s="100">
        <f>D5</f>
        <v>-2.6732369299221292</v>
      </c>
      <c r="F50" s="97">
        <f>D6</f>
        <v>0.7721603371908845</v>
      </c>
      <c r="G50" s="100">
        <f>D7</f>
        <v>109.28675892947599</v>
      </c>
      <c r="H50" s="100">
        <f>D8</f>
        <v>-2.6606703871991995</v>
      </c>
      <c r="I50" s="97">
        <f>D9</f>
        <v>0.77606689699293685</v>
      </c>
    </row>
    <row r="51" spans="1:9">
      <c r="A51" s="65">
        <v>26</v>
      </c>
      <c r="B51" s="98">
        <v>13</v>
      </c>
      <c r="C51" s="99">
        <v>54</v>
      </c>
      <c r="D51" s="100">
        <f>E4</f>
        <v>86.444012860943772</v>
      </c>
      <c r="E51" s="100">
        <f>E5</f>
        <v>0.17920402932587054</v>
      </c>
      <c r="F51" s="97">
        <f>E6</f>
        <v>0.79279948923153409</v>
      </c>
      <c r="G51" s="100">
        <f>E7</f>
        <v>82.54301144460598</v>
      </c>
      <c r="H51" s="100">
        <f>E8</f>
        <v>-3.9010014163377917</v>
      </c>
      <c r="I51" s="97">
        <f>E9</f>
        <v>5.7100714108252806E-2</v>
      </c>
    </row>
    <row r="52" spans="1:9">
      <c r="A52" s="65">
        <v>26</v>
      </c>
      <c r="B52" s="98">
        <v>13</v>
      </c>
      <c r="C52" s="101">
        <v>55</v>
      </c>
      <c r="D52" s="100">
        <f>F4</f>
        <v>97.52610107255299</v>
      </c>
      <c r="E52" s="100">
        <f>F5</f>
        <v>0.17920402932587054</v>
      </c>
      <c r="F52" s="97">
        <f>F6</f>
        <v>0.79279948923153409</v>
      </c>
      <c r="G52" s="100">
        <f>F7</f>
        <v>97.675318877918798</v>
      </c>
      <c r="H52" s="100">
        <f>F8</f>
        <v>0.15300294354513755</v>
      </c>
      <c r="I52" s="97">
        <f>F9</f>
        <v>0.86186652661807761</v>
      </c>
    </row>
    <row r="53" spans="1:9">
      <c r="A53" s="65">
        <v>26</v>
      </c>
      <c r="B53" s="98">
        <v>13</v>
      </c>
      <c r="C53" s="101">
        <v>56</v>
      </c>
      <c r="D53" s="100">
        <f>G4</f>
        <v>5.9064474516945866</v>
      </c>
      <c r="E53" s="100">
        <f>G5</f>
        <v>-0.57892675215353129</v>
      </c>
      <c r="F53" s="97">
        <f>G6</f>
        <v>2.9251452288766204E-3</v>
      </c>
      <c r="G53" s="100">
        <f>G7</f>
        <v>5.6596008408097731</v>
      </c>
      <c r="H53" s="100">
        <f>G8</f>
        <v>-0.24684661088481352</v>
      </c>
      <c r="I53" s="97">
        <f>G9</f>
        <v>0.13346781541684527</v>
      </c>
    </row>
    <row r="54" spans="1:9">
      <c r="A54" s="65">
        <v>26</v>
      </c>
      <c r="B54" s="98">
        <v>14</v>
      </c>
      <c r="C54" s="99">
        <v>51</v>
      </c>
      <c r="D54" s="100">
        <f>C10</f>
        <v>11.199808601057979</v>
      </c>
      <c r="E54" s="100">
        <f>C11</f>
        <v>0.27139421159296134</v>
      </c>
      <c r="F54" s="97">
        <f>C12</f>
        <v>0.26443691106580769</v>
      </c>
      <c r="G54" s="100">
        <f>C13</f>
        <v>12.875028984391314</v>
      </c>
      <c r="H54" s="100">
        <f>C14</f>
        <v>1.6752203833333343</v>
      </c>
      <c r="I54" s="97">
        <f>C15</f>
        <v>2.3157351134230598E-6</v>
      </c>
    </row>
    <row r="55" spans="1:9">
      <c r="A55" s="65">
        <v>26</v>
      </c>
      <c r="B55" s="98">
        <v>14</v>
      </c>
      <c r="C55" s="99">
        <v>52</v>
      </c>
      <c r="D55" s="100">
        <f>D10</f>
        <v>102.19933333333333</v>
      </c>
      <c r="E55" s="100">
        <f>D11</f>
        <v>16.142869855394885</v>
      </c>
      <c r="F55" s="97">
        <f>D12</f>
        <v>3.725066323048104E-2</v>
      </c>
      <c r="G55" s="100">
        <f>D13</f>
        <v>101.77974756725172</v>
      </c>
      <c r="H55" s="100">
        <f>D14</f>
        <v>-0.41055626528706562</v>
      </c>
      <c r="I55" s="97">
        <f>D15</f>
        <v>0.96400134554599892</v>
      </c>
    </row>
    <row r="56" spans="1:9">
      <c r="A56" s="65">
        <v>26</v>
      </c>
      <c r="B56" s="98">
        <v>14</v>
      </c>
      <c r="C56" s="99">
        <v>54</v>
      </c>
      <c r="D56" s="100">
        <f>E10</f>
        <v>95.689044899165623</v>
      </c>
      <c r="E56" s="100">
        <f>E11</f>
        <v>3.9097696432903088</v>
      </c>
      <c r="F56" s="97">
        <f>E12</f>
        <v>7.0032663649811616E-2</v>
      </c>
      <c r="G56" s="100">
        <f>E13</f>
        <v>99.913919049960697</v>
      </c>
      <c r="H56" s="100">
        <f>E14</f>
        <v>4.224874150795074</v>
      </c>
      <c r="I56" s="97">
        <f>E15</f>
        <v>2.0839239384436365E-4</v>
      </c>
    </row>
    <row r="57" spans="1:9">
      <c r="A57" s="65">
        <v>26</v>
      </c>
      <c r="B57" s="98">
        <v>14</v>
      </c>
      <c r="C57" s="101">
        <v>55</v>
      </c>
      <c r="D57" s="100">
        <f>F10</f>
        <v>90.690363051937666</v>
      </c>
      <c r="E57" s="100">
        <f>F11</f>
        <v>3.9097696432903088</v>
      </c>
      <c r="F57" s="97">
        <f>F12</f>
        <v>7.0032663649811616E-2</v>
      </c>
      <c r="G57" s="100">
        <f>F13</f>
        <v>90.303218194043126</v>
      </c>
      <c r="H57" s="100">
        <f>F14</f>
        <v>-0.42688643519137981</v>
      </c>
      <c r="I57" s="97">
        <f>F15</f>
        <v>0.84106035865660789</v>
      </c>
    </row>
    <row r="58" spans="1:9">
      <c r="A58" s="65">
        <v>26</v>
      </c>
      <c r="B58" s="98">
        <v>14</v>
      </c>
      <c r="C58" s="101">
        <v>56</v>
      </c>
      <c r="D58" s="100">
        <f>G10</f>
        <v>6.0671592767756897</v>
      </c>
      <c r="E58" s="100">
        <f>G11</f>
        <v>0.31969777390992188</v>
      </c>
      <c r="F58" s="97">
        <f>G12</f>
        <v>2.31433494351568E-2</v>
      </c>
      <c r="G58" s="100">
        <f>G13</f>
        <v>6.3003782236012702</v>
      </c>
      <c r="H58" s="100">
        <f>G14</f>
        <v>0.23321894682558053</v>
      </c>
      <c r="I58" s="97">
        <f>G15</f>
        <v>0.15121227183556474</v>
      </c>
    </row>
    <row r="59" spans="1:9">
      <c r="A59" s="65">
        <v>26</v>
      </c>
      <c r="B59" s="98">
        <v>15</v>
      </c>
      <c r="C59" s="99">
        <v>51</v>
      </c>
      <c r="D59" s="100">
        <f>C16</f>
        <v>1.3441777786993319</v>
      </c>
      <c r="E59" s="100">
        <f>C17</f>
        <v>1.3575202094232282</v>
      </c>
      <c r="F59" s="97">
        <f>C18</f>
        <v>2.6338242557720784E-2</v>
      </c>
      <c r="G59" s="100">
        <f>C19</f>
        <v>2.6859438453659989</v>
      </c>
      <c r="H59" s="100">
        <f>C20</f>
        <v>1.3417660666666671</v>
      </c>
      <c r="I59" s="97">
        <f>C21</f>
        <v>9.5907420874500986E-3</v>
      </c>
    </row>
    <row r="60" spans="1:9">
      <c r="A60" s="65">
        <v>26</v>
      </c>
      <c r="B60" s="98">
        <v>15</v>
      </c>
      <c r="C60" s="99">
        <v>52</v>
      </c>
      <c r="D60" s="100">
        <f>D16</f>
        <v>44.293333333333329</v>
      </c>
      <c r="E60" s="100">
        <f>D17</f>
        <v>1.3125695216907698</v>
      </c>
      <c r="F60" s="97">
        <f>D18</f>
        <v>0.74706819319848361</v>
      </c>
      <c r="G60" s="100">
        <f>D19</f>
        <v>43.281002685832668</v>
      </c>
      <c r="H60" s="100">
        <f>D20</f>
        <v>-2.2855147068798756</v>
      </c>
      <c r="I60" s="97">
        <f>D21</f>
        <v>0.84545110743821161</v>
      </c>
    </row>
    <row r="61" spans="1:9">
      <c r="A61" s="65">
        <v>26</v>
      </c>
      <c r="B61" s="98">
        <v>15</v>
      </c>
      <c r="C61" s="99">
        <v>54</v>
      </c>
      <c r="D61" s="100">
        <f>E16</f>
        <v>82.775062058387547</v>
      </c>
      <c r="E61" s="100">
        <f>E17</f>
        <v>5.3399384003655657</v>
      </c>
      <c r="F61" s="97">
        <f>E18</f>
        <v>0.14725062973675407</v>
      </c>
      <c r="G61" s="100">
        <f>E19</f>
        <v>87.036230655538063</v>
      </c>
      <c r="H61" s="100">
        <f>E20</f>
        <v>4.2611685971505153</v>
      </c>
      <c r="I61" s="97">
        <f>E21</f>
        <v>2.0768176404692834E-2</v>
      </c>
    </row>
    <row r="62" spans="1:9">
      <c r="A62" s="65">
        <v>26</v>
      </c>
      <c r="B62" s="98">
        <v>15</v>
      </c>
      <c r="C62" s="101">
        <v>55</v>
      </c>
      <c r="D62" s="102">
        <f>F16</f>
        <v>75.126447538395226</v>
      </c>
      <c r="E62" s="100">
        <f>F17</f>
        <v>5.3399384003655657</v>
      </c>
      <c r="F62" s="97">
        <f>F18</f>
        <v>0.14725062973675407</v>
      </c>
      <c r="G62" s="100">
        <f>F19</f>
        <v>74.913304304237471</v>
      </c>
      <c r="H62" s="100">
        <f>F20</f>
        <v>-0.28371264866320128</v>
      </c>
      <c r="I62" s="97">
        <f>F21</f>
        <v>0.93535842782769285</v>
      </c>
    </row>
    <row r="63" spans="1:9">
      <c r="A63" s="65">
        <v>26</v>
      </c>
      <c r="B63" s="98">
        <v>15</v>
      </c>
      <c r="C63" s="101">
        <v>56</v>
      </c>
      <c r="D63" s="102">
        <f>G16</f>
        <v>3.1220235178786706</v>
      </c>
      <c r="E63" s="100">
        <f>G17</f>
        <v>0.30928437165760791</v>
      </c>
      <c r="F63" s="97">
        <f>G18</f>
        <v>8.160769014597595E-2</v>
      </c>
      <c r="G63" s="100">
        <f>G19</f>
        <v>3.2974974930688878</v>
      </c>
      <c r="H63" s="100">
        <f>G20</f>
        <v>0.17547397519021724</v>
      </c>
      <c r="I63" s="97">
        <f>G21</f>
        <v>0.28349568643373946</v>
      </c>
    </row>
    <row r="64" spans="1:9">
      <c r="A64" s="65">
        <v>26</v>
      </c>
      <c r="B64" s="98">
        <v>16</v>
      </c>
      <c r="C64" s="99">
        <v>51</v>
      </c>
      <c r="D64" s="100">
        <f>C22</f>
        <v>-3.7229207496719781</v>
      </c>
      <c r="E64" s="103">
        <f>C23</f>
        <v>0.39764566530363921</v>
      </c>
      <c r="F64" s="104">
        <f>C24</f>
        <v>0.4091759335315851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118.89066666666668</v>
      </c>
      <c r="E65" s="103">
        <f>D23</f>
        <v>-2.5786874304783058</v>
      </c>
      <c r="F65" s="104">
        <f>D24</f>
        <v>0.73939440317770666</v>
      </c>
      <c r="G65" s="100">
        <f>D25</f>
        <v>137.04144438484275</v>
      </c>
      <c r="H65" s="100">
        <f>D26</f>
        <v>15.266781007347985</v>
      </c>
      <c r="I65" s="97">
        <f>D27</f>
        <v>2.3995653912510441E-2</v>
      </c>
    </row>
    <row r="66" spans="1:9">
      <c r="A66" s="65">
        <v>26</v>
      </c>
      <c r="B66" s="98">
        <v>16</v>
      </c>
      <c r="C66" s="99">
        <v>54</v>
      </c>
      <c r="D66" s="100">
        <f>E22</f>
        <v>87.277710514074755</v>
      </c>
      <c r="E66" s="103">
        <f>E23</f>
        <v>-0.57824199944211718</v>
      </c>
      <c r="F66" s="104">
        <f>E24</f>
        <v>0.41142731106350572</v>
      </c>
      <c r="G66" s="100">
        <f>E25</f>
        <v>88.537690693601846</v>
      </c>
      <c r="H66" s="100">
        <f>E26</f>
        <v>1.2599801795270906</v>
      </c>
      <c r="I66" s="97">
        <f>E27</f>
        <v>0.53805643569043715</v>
      </c>
    </row>
    <row r="67" spans="1:9">
      <c r="A67" s="65">
        <v>26</v>
      </c>
      <c r="B67" s="98">
        <v>16</v>
      </c>
      <c r="C67" s="101">
        <v>55</v>
      </c>
      <c r="D67" s="105">
        <f>F22</f>
        <v>96.956894666836448</v>
      </c>
      <c r="E67" s="106">
        <f>F23</f>
        <v>-0.57824199944211718</v>
      </c>
      <c r="F67" s="107">
        <f>F24</f>
        <v>0.41142731106350572</v>
      </c>
      <c r="G67" s="100">
        <f>F25</f>
        <v>96.551158116589704</v>
      </c>
      <c r="H67" s="100">
        <f>F26</f>
        <v>-0.4184710655605689</v>
      </c>
      <c r="I67" s="97">
        <f>F27</f>
        <v>0.33405016927049369</v>
      </c>
    </row>
    <row r="68" spans="1:9">
      <c r="A68" s="65">
        <v>26</v>
      </c>
      <c r="B68" s="98">
        <v>16</v>
      </c>
      <c r="C68" s="101">
        <v>56</v>
      </c>
      <c r="D68" s="108">
        <f>G22</f>
        <v>24.529380379304769</v>
      </c>
      <c r="E68" s="100">
        <f>G23</f>
        <v>0.60937354205557626</v>
      </c>
      <c r="F68" s="97">
        <f>G24</f>
        <v>0.48904788577315328</v>
      </c>
      <c r="G68" s="100">
        <f>G25</f>
        <v>24.773923651622024</v>
      </c>
      <c r="H68" s="100">
        <f>G23</f>
        <v>0.60937354205557626</v>
      </c>
      <c r="I68" s="97">
        <f>G24</f>
        <v>0.48904788577315328</v>
      </c>
    </row>
    <row r="69" spans="1:9">
      <c r="A69" s="65">
        <v>26</v>
      </c>
      <c r="B69" s="98">
        <v>17</v>
      </c>
      <c r="C69" s="99">
        <v>51</v>
      </c>
      <c r="D69" s="100">
        <f>C28</f>
        <v>8.6527295084618459</v>
      </c>
      <c r="E69" s="103">
        <f>C29</f>
        <v>0.493165992497894</v>
      </c>
      <c r="F69" s="104">
        <f>C30</f>
        <v>7.3986396996573514E-2</v>
      </c>
      <c r="G69" s="100">
        <f>C31</f>
        <v>9.5041247195729568</v>
      </c>
      <c r="H69" s="100">
        <f>C32</f>
        <v>0.85139521111111094</v>
      </c>
      <c r="I69" s="97">
        <f>C33</f>
        <v>1.1010082940577106E-3</v>
      </c>
    </row>
    <row r="70" spans="1:9">
      <c r="A70" s="65">
        <v>26</v>
      </c>
      <c r="B70" s="98">
        <v>17</v>
      </c>
      <c r="C70" s="99">
        <v>52</v>
      </c>
      <c r="D70" s="100">
        <f>D28</f>
        <v>127.15000000000002</v>
      </c>
      <c r="E70" s="103">
        <f>D29</f>
        <v>5.3884315906562898</v>
      </c>
      <c r="F70" s="104">
        <f>D30</f>
        <v>0.45938755734464964</v>
      </c>
      <c r="G70" s="100">
        <f>D31</f>
        <v>123.10872984563005</v>
      </c>
      <c r="H70" s="100">
        <f>D32</f>
        <v>-3.1783485288005981</v>
      </c>
      <c r="I70" s="97">
        <f>D33</f>
        <v>0.65580563038943673</v>
      </c>
    </row>
    <row r="71" spans="1:9">
      <c r="A71" s="65">
        <v>26</v>
      </c>
      <c r="B71" s="98">
        <v>17</v>
      </c>
      <c r="C71" s="99">
        <v>54</v>
      </c>
      <c r="D71" s="100">
        <f>E28</f>
        <v>96.60556882322912</v>
      </c>
      <c r="E71" s="103">
        <f>E29</f>
        <v>-3.7201743331371204E-2</v>
      </c>
      <c r="F71" s="104">
        <f>E30</f>
        <v>0.93849317490882589</v>
      </c>
      <c r="G71" s="100">
        <f>E31</f>
        <v>92.158857476111493</v>
      </c>
      <c r="H71" s="100">
        <f>E32</f>
        <v>-4.4467113471176276</v>
      </c>
      <c r="I71" s="97">
        <f>E33</f>
        <v>2.7062272262376387E-3</v>
      </c>
    </row>
    <row r="72" spans="1:9">
      <c r="A72" s="65">
        <v>26</v>
      </c>
      <c r="B72" s="98">
        <v>17</v>
      </c>
      <c r="C72" s="101">
        <v>55</v>
      </c>
      <c r="D72" s="105">
        <f>F28</f>
        <v>97.998727518265312</v>
      </c>
      <c r="E72" s="106">
        <f>F29</f>
        <v>-3.7201743331371204E-2</v>
      </c>
      <c r="F72" s="107">
        <f>F30</f>
        <v>0.93849317490882589</v>
      </c>
      <c r="G72" s="100">
        <f>F31</f>
        <v>97.72115778761011</v>
      </c>
      <c r="H72" s="100">
        <f>F32</f>
        <v>-0.28323809674311307</v>
      </c>
      <c r="I72" s="97">
        <f>F33</f>
        <v>0.57519469125629441</v>
      </c>
    </row>
    <row r="73" spans="1:9">
      <c r="A73" s="65">
        <v>26</v>
      </c>
      <c r="B73" s="98">
        <v>17</v>
      </c>
      <c r="C73" s="101">
        <v>56</v>
      </c>
      <c r="D73" s="108">
        <f>G28</f>
        <v>34.086512138962576</v>
      </c>
      <c r="E73" s="100">
        <f>G29</f>
        <v>-3.0300069890782242E-2</v>
      </c>
      <c r="F73" s="97">
        <f>G30</f>
        <v>0.9377519911726544</v>
      </c>
      <c r="G73" s="100">
        <f>G31</f>
        <v>32.422241182148269</v>
      </c>
      <c r="H73" s="100">
        <f>G32</f>
        <v>-1.6642709568143061</v>
      </c>
      <c r="I73" s="97">
        <f>G33</f>
        <v>2.8251965213868173E-3</v>
      </c>
    </row>
    <row r="74" spans="1:9">
      <c r="A74" s="65">
        <v>26</v>
      </c>
      <c r="B74" s="98">
        <v>18</v>
      </c>
      <c r="C74" s="99">
        <v>51</v>
      </c>
      <c r="D74" s="100">
        <f>C34</f>
        <v>18.921466666327582</v>
      </c>
      <c r="E74" s="103">
        <f>C35</f>
        <v>0.51192584138558528</v>
      </c>
      <c r="F74" s="104">
        <f>C36</f>
        <v>0.18725340393782341</v>
      </c>
      <c r="G74" s="100">
        <f>C37</f>
        <v>19.962994699660911</v>
      </c>
      <c r="H74" s="100">
        <f>C38</f>
        <v>1.0415280333333286</v>
      </c>
      <c r="I74" s="97">
        <f>C39</f>
        <v>1.1494525619830242E-3</v>
      </c>
    </row>
    <row r="75" spans="1:9">
      <c r="A75" s="65">
        <v>26</v>
      </c>
      <c r="B75" s="98">
        <v>18</v>
      </c>
      <c r="C75" s="99">
        <v>52</v>
      </c>
      <c r="D75" s="100">
        <f>D34</f>
        <v>70.454666666666668</v>
      </c>
      <c r="E75" s="103">
        <f>D35</f>
        <v>-4.3337931034482748</v>
      </c>
      <c r="F75" s="104">
        <f>D36</f>
        <v>0.50496218370183299</v>
      </c>
      <c r="G75" s="100">
        <f>D37</f>
        <v>72.921713682027942</v>
      </c>
      <c r="H75" s="100">
        <f>D38</f>
        <v>3.5016090943035825</v>
      </c>
      <c r="I75" s="97">
        <f>D39</f>
        <v>0.69425149496553673</v>
      </c>
    </row>
    <row r="76" spans="1:9">
      <c r="A76" s="65">
        <v>26</v>
      </c>
      <c r="B76" s="98">
        <v>18</v>
      </c>
      <c r="C76" s="99">
        <v>54</v>
      </c>
      <c r="D76" s="100">
        <f>E34</f>
        <v>88.318986339662629</v>
      </c>
      <c r="E76" s="103">
        <f>E35</f>
        <v>1.3097765914342887</v>
      </c>
      <c r="F76" s="104">
        <f>E36</f>
        <v>0.63987513741779845</v>
      </c>
      <c r="G76" s="100">
        <f>E37</f>
        <v>84.957739648791474</v>
      </c>
      <c r="H76" s="100">
        <f>E38</f>
        <v>-3.3612466908711554</v>
      </c>
      <c r="I76" s="97">
        <f>E39</f>
        <v>4.8021772695918882E-3</v>
      </c>
    </row>
    <row r="77" spans="1:9">
      <c r="A77" s="65">
        <v>26</v>
      </c>
      <c r="B77" s="98">
        <v>18</v>
      </c>
      <c r="C77" s="101">
        <v>55</v>
      </c>
      <c r="D77" s="105">
        <f>F34</f>
        <v>83.399509157879891</v>
      </c>
      <c r="E77" s="106">
        <f>F35</f>
        <v>1.3097765914342887</v>
      </c>
      <c r="F77" s="107">
        <f>F36</f>
        <v>0.63987513741779845</v>
      </c>
      <c r="G77" s="100">
        <f>F37</f>
        <v>82.186608078143522</v>
      </c>
      <c r="H77" s="100">
        <f>F38</f>
        <v>-1.454326400698938</v>
      </c>
      <c r="I77" s="97">
        <f>F39</f>
        <v>0.71300963572434772</v>
      </c>
    </row>
    <row r="78" spans="1:9">
      <c r="A78" s="65">
        <v>26</v>
      </c>
      <c r="B78" s="98">
        <v>18</v>
      </c>
      <c r="C78" s="101">
        <v>56</v>
      </c>
      <c r="D78" s="108">
        <f>G34</f>
        <v>6.5836889743727891</v>
      </c>
      <c r="E78" s="100">
        <f>G35</f>
        <v>-0.16874605267005913</v>
      </c>
      <c r="F78" s="97">
        <f>G36</f>
        <v>0.55081888290106795</v>
      </c>
      <c r="G78" s="100">
        <f>G37</f>
        <v>6.2268525207326855</v>
      </c>
      <c r="H78" s="100">
        <f>G38</f>
        <v>-0.35683645364010363</v>
      </c>
      <c r="I78" s="97">
        <f>G39</f>
        <v>0.17596858620882017</v>
      </c>
    </row>
    <row r="79" spans="1:9">
      <c r="A79" s="65">
        <v>26</v>
      </c>
      <c r="B79" s="98">
        <v>19</v>
      </c>
      <c r="C79" s="99">
        <v>51</v>
      </c>
      <c r="D79" s="100">
        <f>C40</f>
        <v>20.924279566652036</v>
      </c>
      <c r="E79" s="103">
        <f>C41</f>
        <v>1.0074835788924303</v>
      </c>
      <c r="F79" s="104">
        <f>C42</f>
        <v>4.8184060034008663E-3</v>
      </c>
      <c r="G79" s="100">
        <f>C43</f>
        <v>21.689849933318701</v>
      </c>
      <c r="H79" s="100">
        <f>C44</f>
        <v>0.76557036666666534</v>
      </c>
      <c r="I79" s="97">
        <f>C45</f>
        <v>3.2311437897384075E-2</v>
      </c>
    </row>
    <row r="80" spans="1:9">
      <c r="A80" s="65">
        <v>26</v>
      </c>
      <c r="B80" s="98">
        <v>19</v>
      </c>
      <c r="C80" s="99">
        <v>52</v>
      </c>
      <c r="D80" s="100">
        <f>D40</f>
        <v>64.666666666666671</v>
      </c>
      <c r="E80" s="100">
        <f>D41</f>
        <v>4.9744160177975516</v>
      </c>
      <c r="F80" s="104">
        <f>D42</f>
        <v>0.50619706942910536</v>
      </c>
      <c r="G80" s="100">
        <f>D43</f>
        <v>63.409706162212309</v>
      </c>
      <c r="H80" s="100">
        <f>D44</f>
        <v>-1.9437533574036505</v>
      </c>
      <c r="I80" s="97">
        <f>D45</f>
        <v>0.86766978863754995</v>
      </c>
    </row>
    <row r="81" spans="1:9">
      <c r="A81" s="65">
        <v>26</v>
      </c>
      <c r="B81" s="98">
        <v>19</v>
      </c>
      <c r="C81" s="99">
        <v>54</v>
      </c>
      <c r="D81" s="100">
        <f>E40</f>
        <v>95.207654465389595</v>
      </c>
      <c r="E81" s="103">
        <f>E41</f>
        <v>-2.251164958492708</v>
      </c>
      <c r="F81" s="104">
        <f>E42</f>
        <v>0.48180296284324919</v>
      </c>
      <c r="G81" s="100">
        <f>E43</f>
        <v>98.417045825450558</v>
      </c>
      <c r="H81" s="100">
        <f>E44</f>
        <v>3.2093913600609625</v>
      </c>
      <c r="I81" s="97">
        <f>E45</f>
        <v>5.0172056650572061E-2</v>
      </c>
    </row>
    <row r="82" spans="1:9">
      <c r="A82" s="65">
        <v>26</v>
      </c>
      <c r="B82" s="98">
        <v>19</v>
      </c>
      <c r="C82" s="101">
        <v>55</v>
      </c>
      <c r="D82" s="105">
        <f>F40</f>
        <v>80.946072542821085</v>
      </c>
      <c r="E82" s="106">
        <f>F41</f>
        <v>-2.251164958492708</v>
      </c>
      <c r="F82" s="107">
        <f>F42</f>
        <v>0.48180296284324919</v>
      </c>
      <c r="G82" s="100">
        <f>F43</f>
        <v>81.621917308807966</v>
      </c>
      <c r="H82" s="100">
        <f>F44</f>
        <v>0.83493212796625582</v>
      </c>
      <c r="I82" s="97">
        <f>F45</f>
        <v>0.85515928755026027</v>
      </c>
    </row>
    <row r="83" spans="1:9">
      <c r="A83" s="65">
        <v>26</v>
      </c>
      <c r="B83" s="98">
        <v>19</v>
      </c>
      <c r="C83" s="101">
        <v>56</v>
      </c>
      <c r="D83" s="108">
        <f>G40</f>
        <v>5.3950184252330144</v>
      </c>
      <c r="E83" s="106">
        <f>G41</f>
        <v>-0.13983394025543328</v>
      </c>
      <c r="F83" s="109">
        <f>G42</f>
        <v>0.53429578129818123</v>
      </c>
      <c r="G83" s="100">
        <f>G43</f>
        <v>5.6214630334627653</v>
      </c>
      <c r="H83" s="100">
        <f>G44</f>
        <v>0.22644460822975088</v>
      </c>
      <c r="I83" s="97">
        <f>G45</f>
        <v>0.41593760714649863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8"/>
  <dimension ref="A1:O83"/>
  <sheetViews>
    <sheetView topLeftCell="A40" workbookViewId="0">
      <selection activeCell="C7" sqref="C7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1" width="9.28515625" style="27" bestFit="1" customWidth="1"/>
    <col min="12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18.544677420551199</v>
      </c>
      <c r="D4" s="31">
        <v>162.3944444444445</v>
      </c>
      <c r="E4" s="30">
        <v>97.018099510968753</v>
      </c>
      <c r="F4" s="30">
        <v>96.578983939734584</v>
      </c>
      <c r="G4" s="130">
        <v>6.5589355850667328</v>
      </c>
    </row>
    <row r="5" spans="1:8" ht="18.75">
      <c r="A5" s="178"/>
      <c r="B5" s="21" t="s">
        <v>17</v>
      </c>
      <c r="C5" s="131">
        <v>0.82588180776146702</v>
      </c>
      <c r="D5" s="33">
        <v>20.552836484983388</v>
      </c>
      <c r="E5" s="34">
        <v>-1.5829941553980866</v>
      </c>
      <c r="F5" s="34">
        <v>-1.5829941553980866</v>
      </c>
      <c r="G5" s="132">
        <v>-0.26802060130429189</v>
      </c>
    </row>
    <row r="6" spans="1:8">
      <c r="A6" s="178"/>
      <c r="B6" s="22" t="s">
        <v>18</v>
      </c>
      <c r="C6" s="133">
        <v>4.2283334503342588E-4</v>
      </c>
      <c r="D6" s="37">
        <v>9.417244864417619E-2</v>
      </c>
      <c r="E6" s="37">
        <v>3.8648727629841936E-2</v>
      </c>
      <c r="F6" s="37">
        <v>3.8648727629841936E-2</v>
      </c>
      <c r="G6" s="134">
        <v>6.0385964423155102E-4</v>
      </c>
    </row>
    <row r="7" spans="1:8" ht="18.75">
      <c r="A7" s="178"/>
      <c r="B7" s="23" t="s">
        <v>19</v>
      </c>
      <c r="C7" s="78">
        <v>19.336991987217868</v>
      </c>
      <c r="D7" s="38">
        <v>173.19112905554579</v>
      </c>
      <c r="E7" s="112">
        <v>99.120313941139287</v>
      </c>
      <c r="F7" s="10">
        <v>93.936131303177675</v>
      </c>
      <c r="G7" s="113">
        <v>6.5166811913566711</v>
      </c>
    </row>
    <row r="8" spans="1:8" ht="18.75">
      <c r="A8" s="178"/>
      <c r="B8" s="21" t="s">
        <v>20</v>
      </c>
      <c r="C8" s="135">
        <v>0.79231456666666844</v>
      </c>
      <c r="D8" s="40">
        <v>6.6484322465814722</v>
      </c>
      <c r="E8" s="136">
        <v>2.1022144301705339</v>
      </c>
      <c r="F8" s="10">
        <v>-2.7364676337929237</v>
      </c>
      <c r="G8" s="137">
        <v>-4.2254393710061677E-2</v>
      </c>
    </row>
    <row r="9" spans="1:8" ht="16.5" thickBot="1">
      <c r="A9" s="179"/>
      <c r="B9" s="25" t="s">
        <v>21</v>
      </c>
      <c r="C9" s="146">
        <v>4.3106780227470274E-3</v>
      </c>
      <c r="D9" s="139">
        <v>0.44678300773353441</v>
      </c>
      <c r="E9" s="147">
        <v>5.6790816604862231E-2</v>
      </c>
      <c r="F9" s="47">
        <v>0.19542842808228711</v>
      </c>
      <c r="G9" s="141">
        <v>0.78705295686812904</v>
      </c>
    </row>
    <row r="10" spans="1:8" ht="18.75">
      <c r="A10" s="180" t="s">
        <v>2</v>
      </c>
      <c r="B10" s="20" t="s">
        <v>16</v>
      </c>
      <c r="C10" s="129">
        <v>10.588831542198111</v>
      </c>
      <c r="D10" s="31">
        <v>105.23666666666666</v>
      </c>
      <c r="E10" s="30">
        <v>93.64347036630231</v>
      </c>
      <c r="F10" s="30">
        <v>91.722617793089526</v>
      </c>
      <c r="G10" s="130">
        <v>6.0092927247445846</v>
      </c>
    </row>
    <row r="11" spans="1:8" ht="18.75">
      <c r="A11" s="178"/>
      <c r="B11" s="21" t="s">
        <v>17</v>
      </c>
      <c r="C11" s="131">
        <v>2.5635028686128809E-3</v>
      </c>
      <c r="D11" s="33">
        <v>10.455839822024478</v>
      </c>
      <c r="E11" s="34">
        <v>2.0652384523553038</v>
      </c>
      <c r="F11" s="34">
        <v>2.0652384523553038</v>
      </c>
      <c r="G11" s="132">
        <v>0.1355820709599859</v>
      </c>
    </row>
    <row r="12" spans="1:8">
      <c r="A12" s="178"/>
      <c r="B12" s="22" t="s">
        <v>18</v>
      </c>
      <c r="C12" s="133">
        <v>0.99001356961862297</v>
      </c>
      <c r="D12" s="37">
        <v>0.1897018792386056</v>
      </c>
      <c r="E12" s="37">
        <v>0.18301235133639393</v>
      </c>
      <c r="F12" s="37">
        <v>0.18301235133639393</v>
      </c>
      <c r="G12" s="134">
        <v>0.22369561025220919</v>
      </c>
    </row>
    <row r="13" spans="1:8" ht="18.75">
      <c r="A13" s="178"/>
      <c r="B13" s="23" t="s">
        <v>19</v>
      </c>
      <c r="C13" s="78">
        <v>12.019233392198114</v>
      </c>
      <c r="D13" s="38">
        <v>112.48173614150457</v>
      </c>
      <c r="E13" s="112">
        <v>98.953255314262861</v>
      </c>
      <c r="F13" s="10">
        <v>92.470244467077535</v>
      </c>
      <c r="G13" s="113">
        <v>6.4055069774628235</v>
      </c>
    </row>
    <row r="14" spans="1:8" ht="18.75">
      <c r="A14" s="178"/>
      <c r="B14" s="21" t="s">
        <v>20</v>
      </c>
      <c r="C14" s="135">
        <v>1.4304018500000026</v>
      </c>
      <c r="D14" s="10">
        <v>6.8845486124968183</v>
      </c>
      <c r="E14" s="11">
        <v>5.3097849479605514</v>
      </c>
      <c r="F14" s="10">
        <v>0.8150952207606218</v>
      </c>
      <c r="G14" s="137">
        <v>0.39621425271823885</v>
      </c>
    </row>
    <row r="15" spans="1:8" ht="16.5" thickBot="1">
      <c r="A15" s="181"/>
      <c r="B15" s="26" t="s">
        <v>21</v>
      </c>
      <c r="C15" s="149">
        <v>8.015878339908703E-6</v>
      </c>
      <c r="D15" s="48">
        <v>0.42123796426657256</v>
      </c>
      <c r="E15" s="121">
        <v>3.1499922560733453E-5</v>
      </c>
      <c r="F15" s="43">
        <v>0.64138271166582972</v>
      </c>
      <c r="G15" s="143">
        <v>7.2040120399708548E-3</v>
      </c>
    </row>
    <row r="16" spans="1:8" ht="18.75">
      <c r="A16" s="177" t="s">
        <v>3</v>
      </c>
      <c r="B16" s="24" t="s">
        <v>16</v>
      </c>
      <c r="C16" s="144">
        <v>2.2788518504218915</v>
      </c>
      <c r="D16" s="45">
        <v>40.12222222222222</v>
      </c>
      <c r="E16" s="44">
        <v>88.38350425442809</v>
      </c>
      <c r="F16" s="44">
        <v>72.809934770644148</v>
      </c>
      <c r="G16" s="145">
        <v>3.2143235371231844</v>
      </c>
    </row>
    <row r="17" spans="1:7" ht="18.75">
      <c r="A17" s="178"/>
      <c r="B17" s="21" t="s">
        <v>17</v>
      </c>
      <c r="C17" s="131">
        <v>0.96899023373115056</v>
      </c>
      <c r="D17" s="33">
        <v>2.5962180200222376</v>
      </c>
      <c r="E17" s="34">
        <v>3.3416066393778849</v>
      </c>
      <c r="F17" s="34">
        <v>3.3416066393778849</v>
      </c>
      <c r="G17" s="132">
        <v>0.22477427922126708</v>
      </c>
    </row>
    <row r="18" spans="1:7">
      <c r="A18" s="178"/>
      <c r="B18" s="22" t="s">
        <v>18</v>
      </c>
      <c r="C18" s="133">
        <v>7.3109585267604901E-2</v>
      </c>
      <c r="D18" s="37">
        <v>0.46578196609798117</v>
      </c>
      <c r="E18" s="37">
        <v>0.2719435956991495</v>
      </c>
      <c r="F18" s="37">
        <v>0.2719435956991495</v>
      </c>
      <c r="G18" s="134">
        <v>0.14350108539054129</v>
      </c>
    </row>
    <row r="19" spans="1:7" ht="18.75">
      <c r="A19" s="178"/>
      <c r="B19" s="23" t="s">
        <v>19</v>
      </c>
      <c r="C19" s="78">
        <v>3.4409272504218928</v>
      </c>
      <c r="D19" s="38">
        <v>42.587558480108619</v>
      </c>
      <c r="E19" s="112">
        <v>91.025364361943971</v>
      </c>
      <c r="F19" s="10">
        <v>73.764286871251727</v>
      </c>
      <c r="G19" s="113">
        <v>3.3990947557026772</v>
      </c>
    </row>
    <row r="20" spans="1:7" ht="18.75">
      <c r="A20" s="178"/>
      <c r="B20" s="21" t="s">
        <v>20</v>
      </c>
      <c r="C20" s="135">
        <v>1.1620754000000013</v>
      </c>
      <c r="D20" s="10">
        <v>6.1445655832117456</v>
      </c>
      <c r="E20" s="11">
        <v>2.6418601075158819</v>
      </c>
      <c r="F20" s="10">
        <v>1.3107443422574723</v>
      </c>
      <c r="G20" s="137">
        <v>0.18477121857949275</v>
      </c>
    </row>
    <row r="21" spans="1:7" ht="16.5" thickBot="1">
      <c r="A21" s="179"/>
      <c r="B21" s="25" t="s">
        <v>21</v>
      </c>
      <c r="C21" s="146">
        <v>2.1344404174867274E-2</v>
      </c>
      <c r="D21" s="46">
        <v>0.4848204755878216</v>
      </c>
      <c r="E21" s="89">
        <v>0.15850102509496222</v>
      </c>
      <c r="F21" s="47">
        <v>0.62698787870895956</v>
      </c>
      <c r="G21" s="141">
        <v>0.19745101376504526</v>
      </c>
    </row>
    <row r="22" spans="1:7" ht="18.75">
      <c r="A22" s="180" t="s">
        <v>4</v>
      </c>
      <c r="B22" s="20" t="s">
        <v>16</v>
      </c>
      <c r="C22" s="129">
        <v>-2.5489914109795677</v>
      </c>
      <c r="D22" s="31">
        <v>99.808888888888916</v>
      </c>
      <c r="E22" s="30">
        <v>91.347691218933051</v>
      </c>
      <c r="F22" s="30">
        <v>95.704667363746239</v>
      </c>
      <c r="G22" s="130">
        <v>25.378378537774655</v>
      </c>
    </row>
    <row r="23" spans="1:7" ht="18.75">
      <c r="A23" s="178"/>
      <c r="B23" s="21" t="s">
        <v>17</v>
      </c>
      <c r="C23" s="131">
        <v>0.28519015615674465</v>
      </c>
      <c r="D23" s="33">
        <v>4.7394883203559335</v>
      </c>
      <c r="E23" s="34">
        <v>0.48635089117722596</v>
      </c>
      <c r="F23" s="34">
        <v>0.48635089117722596</v>
      </c>
      <c r="G23" s="132">
        <v>0.61004936875178439</v>
      </c>
    </row>
    <row r="24" spans="1:7">
      <c r="A24" s="178"/>
      <c r="B24" s="22" t="s">
        <v>18</v>
      </c>
      <c r="C24" s="133">
        <v>0.59181191158580093</v>
      </c>
      <c r="D24" s="37">
        <v>0.31859293161295865</v>
      </c>
      <c r="E24" s="37">
        <v>0.40144874823119592</v>
      </c>
      <c r="F24" s="37">
        <v>0.40144874823119592</v>
      </c>
      <c r="G24" s="134">
        <v>0.44885705865353942</v>
      </c>
    </row>
    <row r="25" spans="1:7" ht="18.75">
      <c r="A25" s="178"/>
      <c r="B25" s="23" t="s">
        <v>19</v>
      </c>
      <c r="C25" s="78">
        <v>-1.2737806332017896</v>
      </c>
      <c r="D25" s="38">
        <v>110.62839465291934</v>
      </c>
      <c r="E25" s="112">
        <v>90.531143910912022</v>
      </c>
      <c r="F25" s="10">
        <v>95.357276802141925</v>
      </c>
      <c r="G25" s="113">
        <v>25.046938905776774</v>
      </c>
    </row>
    <row r="26" spans="1:7" ht="18.75">
      <c r="A26" s="178"/>
      <c r="B26" s="21" t="s">
        <v>20</v>
      </c>
      <c r="C26" s="135">
        <v>1.2752107777777781</v>
      </c>
      <c r="D26" s="10">
        <v>10.840222633953086</v>
      </c>
      <c r="E26" s="11">
        <v>-0.81654730802102904</v>
      </c>
      <c r="F26" s="10">
        <v>-0.36298183899848779</v>
      </c>
      <c r="G26" s="170">
        <v>-0.33143963199788118</v>
      </c>
    </row>
    <row r="27" spans="1:7" ht="16.5" thickBot="1">
      <c r="A27" s="181"/>
      <c r="B27" s="26" t="s">
        <v>21</v>
      </c>
      <c r="C27" s="149">
        <v>9.2238118804096707E-3</v>
      </c>
      <c r="D27" s="48">
        <v>7.1202168985197586E-2</v>
      </c>
      <c r="E27" s="121">
        <v>0.62878545830739019</v>
      </c>
      <c r="F27" s="43">
        <v>0.39259827676908554</v>
      </c>
      <c r="G27" s="122">
        <v>0.52285545800011368</v>
      </c>
    </row>
    <row r="28" spans="1:7" ht="18.75">
      <c r="A28" s="177" t="s">
        <v>5</v>
      </c>
      <c r="B28" s="24" t="s">
        <v>16</v>
      </c>
      <c r="C28" s="144">
        <v>8.2375005962523105</v>
      </c>
      <c r="D28" s="45">
        <v>134.42555555555552</v>
      </c>
      <c r="E28" s="44">
        <v>97.646217435608278</v>
      </c>
      <c r="F28" s="44">
        <v>98.465400416971534</v>
      </c>
      <c r="G28" s="145">
        <v>34.610762629997787</v>
      </c>
    </row>
    <row r="29" spans="1:7" ht="18.75">
      <c r="A29" s="178"/>
      <c r="B29" s="21" t="s">
        <v>17</v>
      </c>
      <c r="C29" s="131">
        <v>0.32904554634126704</v>
      </c>
      <c r="D29" s="33">
        <v>11.433963663329681</v>
      </c>
      <c r="E29" s="34">
        <v>0.9189060558252139</v>
      </c>
      <c r="F29" s="34">
        <v>0.9189060558252139</v>
      </c>
      <c r="G29" s="132">
        <v>0.38805423115478155</v>
      </c>
    </row>
    <row r="30" spans="1:7">
      <c r="A30" s="178"/>
      <c r="B30" s="22" t="s">
        <v>18</v>
      </c>
      <c r="C30" s="133">
        <v>0.20824058541362045</v>
      </c>
      <c r="D30" s="37">
        <v>0.11940801885574126</v>
      </c>
      <c r="E30" s="49">
        <v>7.409582934521465E-3</v>
      </c>
      <c r="F30" s="49">
        <v>7.409582934521465E-3</v>
      </c>
      <c r="G30" s="134">
        <v>0.15810779058080626</v>
      </c>
    </row>
    <row r="31" spans="1:7" ht="18.75">
      <c r="A31" s="178"/>
      <c r="B31" s="23" t="s">
        <v>19</v>
      </c>
      <c r="C31" s="78">
        <v>8.923404962918978</v>
      </c>
      <c r="D31" s="38">
        <v>135.9669684844234</v>
      </c>
      <c r="E31" s="112">
        <v>94.563522378877821</v>
      </c>
      <c r="F31" s="10">
        <v>97.645456478623757</v>
      </c>
      <c r="G31" s="113">
        <v>33.221699256546685</v>
      </c>
    </row>
    <row r="32" spans="1:7" ht="18.75">
      <c r="A32" s="178"/>
      <c r="B32" s="21" t="s">
        <v>20</v>
      </c>
      <c r="C32" s="135">
        <v>0.68590436666666754</v>
      </c>
      <c r="D32" s="10">
        <v>1.1466665861989629</v>
      </c>
      <c r="E32" s="11">
        <v>-3.0826950567304578</v>
      </c>
      <c r="F32" s="10">
        <v>-0.83272290050674247</v>
      </c>
      <c r="G32" s="171">
        <v>-1.3890633734511013</v>
      </c>
    </row>
    <row r="33" spans="1:15" ht="16.5" thickBot="1">
      <c r="A33" s="179"/>
      <c r="B33" s="25" t="s">
        <v>21</v>
      </c>
      <c r="C33" s="146">
        <v>8.1067752287981073E-3</v>
      </c>
      <c r="D33" s="46">
        <v>0.87001947858425488</v>
      </c>
      <c r="E33" s="117">
        <v>1.6172417137484962E-2</v>
      </c>
      <c r="F33" s="47">
        <v>0.2909437074253618</v>
      </c>
      <c r="G33" s="118">
        <v>4.5392272404328202E-3</v>
      </c>
    </row>
    <row r="34" spans="1:15" ht="18.75">
      <c r="A34" s="177" t="s">
        <v>6</v>
      </c>
      <c r="B34" s="24" t="s">
        <v>16</v>
      </c>
      <c r="C34" s="129">
        <v>17.082518514703814</v>
      </c>
      <c r="D34" s="31">
        <v>81.591111111111147</v>
      </c>
      <c r="E34" s="30">
        <v>97.526348220541948</v>
      </c>
      <c r="F34" s="30">
        <v>78.495790105988505</v>
      </c>
      <c r="G34" s="130">
        <v>6.8947433163108123</v>
      </c>
    </row>
    <row r="35" spans="1:15" ht="18.75">
      <c r="A35" s="178"/>
      <c r="B35" s="21" t="s">
        <v>17</v>
      </c>
      <c r="C35" s="131">
        <v>0.58912865446960461</v>
      </c>
      <c r="D35" s="33">
        <v>-6.907823507601015</v>
      </c>
      <c r="E35" s="34">
        <v>3.2713073161640294</v>
      </c>
      <c r="F35" s="34">
        <v>3.2713073161640294</v>
      </c>
      <c r="G35" s="132">
        <v>0.24597749102519689</v>
      </c>
    </row>
    <row r="36" spans="1:15">
      <c r="A36" s="178"/>
      <c r="B36" s="22" t="s">
        <v>18</v>
      </c>
      <c r="C36" s="133">
        <v>2.7875161494961311E-2</v>
      </c>
      <c r="D36" s="37">
        <v>0.36269409113277218</v>
      </c>
      <c r="E36" s="37">
        <v>0.35956938664396376</v>
      </c>
      <c r="F36" s="37">
        <v>0.35956938664396376</v>
      </c>
      <c r="G36" s="134">
        <v>0.45792955400215829</v>
      </c>
    </row>
    <row r="37" spans="1:15" ht="18.75">
      <c r="A37" s="178"/>
      <c r="B37" s="23" t="s">
        <v>19</v>
      </c>
      <c r="C37" s="78">
        <v>18.100816814703812</v>
      </c>
      <c r="D37" s="38">
        <v>87.964922533757814</v>
      </c>
      <c r="E37" s="112">
        <v>97.766808593682995</v>
      </c>
      <c r="F37" s="10">
        <v>74.246577047515032</v>
      </c>
      <c r="G37" s="113">
        <v>6.5632672840053505</v>
      </c>
    </row>
    <row r="38" spans="1:15" ht="18.75">
      <c r="A38" s="178"/>
      <c r="B38" s="21" t="s">
        <v>20</v>
      </c>
      <c r="C38" s="135">
        <v>1.0182982999999979</v>
      </c>
      <c r="D38" s="10">
        <v>7.8118943789928101</v>
      </c>
      <c r="E38" s="11">
        <v>0.24046037314104751</v>
      </c>
      <c r="F38" s="10">
        <v>-5.4133005766755051</v>
      </c>
      <c r="G38" s="171">
        <v>-0.33147603230546174</v>
      </c>
    </row>
    <row r="39" spans="1:15" ht="16.5" thickBot="1">
      <c r="A39" s="179"/>
      <c r="B39" s="25" t="s">
        <v>21</v>
      </c>
      <c r="C39" s="149">
        <v>7.3341679295056011E-4</v>
      </c>
      <c r="D39" s="48">
        <v>0.33151985927500505</v>
      </c>
      <c r="E39" s="121">
        <v>0.65756099984539218</v>
      </c>
      <c r="F39" s="43">
        <v>0.29007110520253543</v>
      </c>
      <c r="G39" s="122">
        <v>0.30535477173306469</v>
      </c>
    </row>
    <row r="40" spans="1:15" ht="18.75">
      <c r="A40" s="180" t="s">
        <v>7</v>
      </c>
      <c r="B40" s="20" t="s">
        <v>16</v>
      </c>
      <c r="C40" s="144">
        <v>18.964587810133533</v>
      </c>
      <c r="D40" s="45">
        <v>104.5488888888889</v>
      </c>
      <c r="E40" s="44">
        <v>89.365770185694217</v>
      </c>
      <c r="F40" s="44">
        <v>62.164659109432606</v>
      </c>
      <c r="G40" s="145">
        <v>3.9249448330636447</v>
      </c>
    </row>
    <row r="41" spans="1:15" ht="18.75">
      <c r="A41" s="178"/>
      <c r="B41" s="21" t="s">
        <v>17</v>
      </c>
      <c r="C41" s="131">
        <v>1.0243831224156477</v>
      </c>
      <c r="D41" s="33">
        <v>12.906637004078654</v>
      </c>
      <c r="E41" s="34">
        <v>-6.4898754302956663</v>
      </c>
      <c r="F41" s="34">
        <v>-6.4898754302956663</v>
      </c>
      <c r="G41" s="132">
        <v>-0.14774692278320389</v>
      </c>
    </row>
    <row r="42" spans="1:15">
      <c r="A42" s="178"/>
      <c r="B42" s="22" t="s">
        <v>18</v>
      </c>
      <c r="C42" s="133">
        <v>1.2905700627864633E-3</v>
      </c>
      <c r="D42" s="37">
        <v>0.29312780998952948</v>
      </c>
      <c r="E42" s="49">
        <v>0.28058400634841407</v>
      </c>
      <c r="F42" s="49">
        <v>0.28058400634841407</v>
      </c>
      <c r="G42" s="134">
        <v>0.71414802246281706</v>
      </c>
    </row>
    <row r="43" spans="1:15" ht="18.75">
      <c r="A43" s="178"/>
      <c r="B43" s="23" t="s">
        <v>19</v>
      </c>
      <c r="C43" s="78">
        <v>19.385961443466876</v>
      </c>
      <c r="D43" s="38">
        <v>126.16481743506218</v>
      </c>
      <c r="E43" s="112">
        <v>92.496094551734927</v>
      </c>
      <c r="F43" s="10">
        <v>55.155484485020459</v>
      </c>
      <c r="G43" s="113">
        <v>3.6054270306853193</v>
      </c>
    </row>
    <row r="44" spans="1:15" ht="18.75">
      <c r="A44" s="178"/>
      <c r="B44" s="21" t="s">
        <v>20</v>
      </c>
      <c r="C44" s="135">
        <v>0.42137363333334221</v>
      </c>
      <c r="D44" s="10">
        <v>20.675426373154448</v>
      </c>
      <c r="E44" s="11">
        <v>3.1303243660407105</v>
      </c>
      <c r="F44" s="10">
        <v>-11.275175839174842</v>
      </c>
      <c r="G44" s="137">
        <v>-0.31951780237832539</v>
      </c>
    </row>
    <row r="45" spans="1:15" ht="16.5" thickBot="1">
      <c r="A45" s="179"/>
      <c r="B45" s="25" t="s">
        <v>21</v>
      </c>
      <c r="C45" s="149">
        <v>0.18794817924459528</v>
      </c>
      <c r="D45" s="48">
        <v>7.6713726980009292E-2</v>
      </c>
      <c r="E45" s="121">
        <v>0.1597471158934729</v>
      </c>
      <c r="F45" s="43">
        <v>0.11452984889389084</v>
      </c>
      <c r="G45" s="143">
        <v>0.30745915248713451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18.544677420551199</v>
      </c>
      <c r="E49" s="100">
        <f>C5</f>
        <v>0.82588180776146702</v>
      </c>
      <c r="F49" s="97">
        <f>C6</f>
        <v>4.2283334503342588E-4</v>
      </c>
      <c r="G49" s="100">
        <f>C7</f>
        <v>19.336991987217868</v>
      </c>
      <c r="H49" s="100">
        <f>C8</f>
        <v>0.79231456666666844</v>
      </c>
      <c r="I49" s="97">
        <f>C9</f>
        <v>4.3106780227470274E-3</v>
      </c>
    </row>
    <row r="50" spans="1:9">
      <c r="A50" s="65">
        <v>26</v>
      </c>
      <c r="B50" s="98">
        <v>13</v>
      </c>
      <c r="C50" s="99">
        <v>52</v>
      </c>
      <c r="D50" s="100">
        <f>D4</f>
        <v>162.3944444444445</v>
      </c>
      <c r="E50" s="100">
        <f>D5</f>
        <v>20.552836484983388</v>
      </c>
      <c r="F50" s="97">
        <f>D6</f>
        <v>9.417244864417619E-2</v>
      </c>
      <c r="G50" s="100">
        <f>D7</f>
        <v>173.19112905554579</v>
      </c>
      <c r="H50" s="100">
        <f>D8</f>
        <v>6.6484322465814722</v>
      </c>
      <c r="I50" s="97">
        <f>D9</f>
        <v>0.44678300773353441</v>
      </c>
    </row>
    <row r="51" spans="1:9">
      <c r="A51" s="65">
        <v>26</v>
      </c>
      <c r="B51" s="98">
        <v>13</v>
      </c>
      <c r="C51" s="99">
        <v>54</v>
      </c>
      <c r="D51" s="100">
        <f>E4</f>
        <v>97.018099510968753</v>
      </c>
      <c r="E51" s="100">
        <f>E5</f>
        <v>-1.5829941553980866</v>
      </c>
      <c r="F51" s="97">
        <f>E6</f>
        <v>3.8648727629841936E-2</v>
      </c>
      <c r="G51" s="100">
        <f>E7</f>
        <v>99.120313941139287</v>
      </c>
      <c r="H51" s="100">
        <f>E8</f>
        <v>2.1022144301705339</v>
      </c>
      <c r="I51" s="97">
        <f>E9</f>
        <v>5.6790816604862231E-2</v>
      </c>
    </row>
    <row r="52" spans="1:9">
      <c r="A52" s="65">
        <v>26</v>
      </c>
      <c r="B52" s="98">
        <v>13</v>
      </c>
      <c r="C52" s="101">
        <v>55</v>
      </c>
      <c r="D52" s="100">
        <f>F4</f>
        <v>96.578983939734584</v>
      </c>
      <c r="E52" s="100">
        <f>F5</f>
        <v>-1.5829941553980866</v>
      </c>
      <c r="F52" s="97">
        <f>F6</f>
        <v>3.8648727629841936E-2</v>
      </c>
      <c r="G52" s="100">
        <f>F7</f>
        <v>93.936131303177675</v>
      </c>
      <c r="H52" s="100">
        <f>F8</f>
        <v>-2.7364676337929237</v>
      </c>
      <c r="I52" s="97">
        <f>F9</f>
        <v>0.19542842808228711</v>
      </c>
    </row>
    <row r="53" spans="1:9">
      <c r="A53" s="65">
        <v>26</v>
      </c>
      <c r="B53" s="98">
        <v>13</v>
      </c>
      <c r="C53" s="101">
        <v>56</v>
      </c>
      <c r="D53" s="100">
        <f>G4</f>
        <v>6.5589355850667328</v>
      </c>
      <c r="E53" s="100">
        <f>G5</f>
        <v>-0.26802060130429189</v>
      </c>
      <c r="F53" s="97">
        <f>G6</f>
        <v>6.0385964423155102E-4</v>
      </c>
      <c r="G53" s="100">
        <f>G7</f>
        <v>6.5166811913566711</v>
      </c>
      <c r="H53" s="100">
        <f>G8</f>
        <v>-4.2254393710061677E-2</v>
      </c>
      <c r="I53" s="97">
        <f>G9</f>
        <v>0.78705295686812904</v>
      </c>
    </row>
    <row r="54" spans="1:9">
      <c r="A54" s="65">
        <v>26</v>
      </c>
      <c r="B54" s="98">
        <v>14</v>
      </c>
      <c r="C54" s="99">
        <v>51</v>
      </c>
      <c r="D54" s="100">
        <f>C10</f>
        <v>10.588831542198111</v>
      </c>
      <c r="E54" s="100">
        <f>C11</f>
        <v>2.5635028686128809E-3</v>
      </c>
      <c r="F54" s="97">
        <f>C12</f>
        <v>0.99001356961862297</v>
      </c>
      <c r="G54" s="100">
        <f>C13</f>
        <v>12.019233392198114</v>
      </c>
      <c r="H54" s="100">
        <f>C14</f>
        <v>1.4304018500000026</v>
      </c>
      <c r="I54" s="97">
        <f>C15</f>
        <v>8.015878339908703E-6</v>
      </c>
    </row>
    <row r="55" spans="1:9">
      <c r="A55" s="65">
        <v>26</v>
      </c>
      <c r="B55" s="98">
        <v>14</v>
      </c>
      <c r="C55" s="99">
        <v>52</v>
      </c>
      <c r="D55" s="100">
        <f>D10</f>
        <v>105.23666666666666</v>
      </c>
      <c r="E55" s="100">
        <f>D11</f>
        <v>10.455839822024478</v>
      </c>
      <c r="F55" s="97">
        <f>D12</f>
        <v>0.1897018792386056</v>
      </c>
      <c r="G55" s="100">
        <f>D13</f>
        <v>112.48173614150457</v>
      </c>
      <c r="H55" s="100">
        <f>D14</f>
        <v>6.8845486124968183</v>
      </c>
      <c r="I55" s="97">
        <f>D15</f>
        <v>0.42123796426657256</v>
      </c>
    </row>
    <row r="56" spans="1:9">
      <c r="A56" s="65">
        <v>26</v>
      </c>
      <c r="B56" s="98">
        <v>14</v>
      </c>
      <c r="C56" s="99">
        <v>54</v>
      </c>
      <c r="D56" s="100">
        <f>E10</f>
        <v>93.64347036630231</v>
      </c>
      <c r="E56" s="100">
        <f>E11</f>
        <v>2.0652384523553038</v>
      </c>
      <c r="F56" s="97">
        <f>E12</f>
        <v>0.18301235133639393</v>
      </c>
      <c r="G56" s="100">
        <f>E13</f>
        <v>98.953255314262861</v>
      </c>
      <c r="H56" s="100">
        <f>E14</f>
        <v>5.3097849479605514</v>
      </c>
      <c r="I56" s="97">
        <f>E15</f>
        <v>3.1499922560733453E-5</v>
      </c>
    </row>
    <row r="57" spans="1:9">
      <c r="A57" s="65">
        <v>26</v>
      </c>
      <c r="B57" s="98">
        <v>14</v>
      </c>
      <c r="C57" s="101">
        <v>55</v>
      </c>
      <c r="D57" s="100">
        <f>F10</f>
        <v>91.722617793089526</v>
      </c>
      <c r="E57" s="100">
        <f>F11</f>
        <v>2.0652384523553038</v>
      </c>
      <c r="F57" s="97">
        <f>F12</f>
        <v>0.18301235133639393</v>
      </c>
      <c r="G57" s="100">
        <f>F13</f>
        <v>92.470244467077535</v>
      </c>
      <c r="H57" s="100">
        <f>F14</f>
        <v>0.8150952207606218</v>
      </c>
      <c r="I57" s="97">
        <f>F15</f>
        <v>0.64138271166582972</v>
      </c>
    </row>
    <row r="58" spans="1:9">
      <c r="A58" s="65">
        <v>26</v>
      </c>
      <c r="B58" s="98">
        <v>14</v>
      </c>
      <c r="C58" s="101">
        <v>56</v>
      </c>
      <c r="D58" s="100">
        <f>G10</f>
        <v>6.0092927247445846</v>
      </c>
      <c r="E58" s="100">
        <f>G11</f>
        <v>0.1355820709599859</v>
      </c>
      <c r="F58" s="97">
        <f>G12</f>
        <v>0.22369561025220919</v>
      </c>
      <c r="G58" s="100">
        <f>G13</f>
        <v>6.4055069774628235</v>
      </c>
      <c r="H58" s="100">
        <f>G14</f>
        <v>0.39621425271823885</v>
      </c>
      <c r="I58" s="97">
        <f>G15</f>
        <v>7.2040120399708548E-3</v>
      </c>
    </row>
    <row r="59" spans="1:9">
      <c r="A59" s="65">
        <v>26</v>
      </c>
      <c r="B59" s="98">
        <v>15</v>
      </c>
      <c r="C59" s="99">
        <v>51</v>
      </c>
      <c r="D59" s="100">
        <f>C16</f>
        <v>2.2788518504218915</v>
      </c>
      <c r="E59" s="100">
        <f>C17</f>
        <v>0.96899023373115056</v>
      </c>
      <c r="F59" s="97">
        <f>C18</f>
        <v>7.3109585267604901E-2</v>
      </c>
      <c r="G59" s="100">
        <f>C19</f>
        <v>3.4409272504218928</v>
      </c>
      <c r="H59" s="100">
        <f>C20</f>
        <v>1.1620754000000013</v>
      </c>
      <c r="I59" s="97">
        <f>C21</f>
        <v>2.1344404174867274E-2</v>
      </c>
    </row>
    <row r="60" spans="1:9">
      <c r="A60" s="65">
        <v>26</v>
      </c>
      <c r="B60" s="98">
        <v>15</v>
      </c>
      <c r="C60" s="99">
        <v>52</v>
      </c>
      <c r="D60" s="100">
        <f>D16</f>
        <v>40.12222222222222</v>
      </c>
      <c r="E60" s="100">
        <f>D17</f>
        <v>2.5962180200222376</v>
      </c>
      <c r="F60" s="97">
        <f>D18</f>
        <v>0.46578196609798117</v>
      </c>
      <c r="G60" s="100">
        <f>D19</f>
        <v>42.587558480108619</v>
      </c>
      <c r="H60" s="100">
        <f>D20</f>
        <v>6.1445655832117456</v>
      </c>
      <c r="I60" s="97">
        <f>D21</f>
        <v>0.4848204755878216</v>
      </c>
    </row>
    <row r="61" spans="1:9">
      <c r="A61" s="65">
        <v>26</v>
      </c>
      <c r="B61" s="98">
        <v>15</v>
      </c>
      <c r="C61" s="99">
        <v>54</v>
      </c>
      <c r="D61" s="100">
        <f>E16</f>
        <v>88.38350425442809</v>
      </c>
      <c r="E61" s="100">
        <f>E17</f>
        <v>3.3416066393778849</v>
      </c>
      <c r="F61" s="97">
        <f>E18</f>
        <v>0.2719435956991495</v>
      </c>
      <c r="G61" s="100">
        <f>E19</f>
        <v>91.025364361943971</v>
      </c>
      <c r="H61" s="100">
        <f>E20</f>
        <v>2.6418601075158819</v>
      </c>
      <c r="I61" s="97">
        <f>E21</f>
        <v>0.15850102509496222</v>
      </c>
    </row>
    <row r="62" spans="1:9">
      <c r="A62" s="65">
        <v>26</v>
      </c>
      <c r="B62" s="98">
        <v>15</v>
      </c>
      <c r="C62" s="101">
        <v>55</v>
      </c>
      <c r="D62" s="102">
        <f>F16</f>
        <v>72.809934770644148</v>
      </c>
      <c r="E62" s="100">
        <f>F17</f>
        <v>3.3416066393778849</v>
      </c>
      <c r="F62" s="97">
        <f>F18</f>
        <v>0.2719435956991495</v>
      </c>
      <c r="G62" s="100">
        <f>F19</f>
        <v>73.764286871251727</v>
      </c>
      <c r="H62" s="100">
        <f>F20</f>
        <v>1.3107443422574723</v>
      </c>
      <c r="I62" s="97">
        <f>F21</f>
        <v>0.62698787870895956</v>
      </c>
    </row>
    <row r="63" spans="1:9">
      <c r="A63" s="65">
        <v>26</v>
      </c>
      <c r="B63" s="98">
        <v>15</v>
      </c>
      <c r="C63" s="101">
        <v>56</v>
      </c>
      <c r="D63" s="102">
        <f>G16</f>
        <v>3.2143235371231844</v>
      </c>
      <c r="E63" s="100">
        <f>G17</f>
        <v>0.22477427922126708</v>
      </c>
      <c r="F63" s="97">
        <f>G18</f>
        <v>0.14350108539054129</v>
      </c>
      <c r="G63" s="100">
        <f>G19</f>
        <v>3.3990947557026772</v>
      </c>
      <c r="H63" s="100">
        <f>G20</f>
        <v>0.18477121857949275</v>
      </c>
      <c r="I63" s="97">
        <f>G21</f>
        <v>0.19745101376504526</v>
      </c>
    </row>
    <row r="64" spans="1:9">
      <c r="A64" s="65">
        <v>26</v>
      </c>
      <c r="B64" s="98">
        <v>16</v>
      </c>
      <c r="C64" s="99">
        <v>51</v>
      </c>
      <c r="D64" s="100">
        <f>C22</f>
        <v>-2.5489914109795677</v>
      </c>
      <c r="E64" s="103">
        <f>C23</f>
        <v>0.28519015615674465</v>
      </c>
      <c r="F64" s="104">
        <f>C24</f>
        <v>0.59181191158580093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99.808888888888916</v>
      </c>
      <c r="E65" s="103">
        <f>D23</f>
        <v>4.7394883203559335</v>
      </c>
      <c r="F65" s="104">
        <f>D24</f>
        <v>0.31859293161295865</v>
      </c>
      <c r="G65" s="100">
        <f>D25</f>
        <v>110.62839465291934</v>
      </c>
      <c r="H65" s="100">
        <f>D26</f>
        <v>10.840222633953086</v>
      </c>
      <c r="I65" s="97">
        <f>D27</f>
        <v>7.1202168985197586E-2</v>
      </c>
    </row>
    <row r="66" spans="1:9">
      <c r="A66" s="65">
        <v>26</v>
      </c>
      <c r="B66" s="98">
        <v>16</v>
      </c>
      <c r="C66" s="99">
        <v>54</v>
      </c>
      <c r="D66" s="100">
        <f>E22</f>
        <v>91.347691218933051</v>
      </c>
      <c r="E66" s="103">
        <f>E23</f>
        <v>0.48635089117722596</v>
      </c>
      <c r="F66" s="104">
        <f>E24</f>
        <v>0.40144874823119592</v>
      </c>
      <c r="G66" s="100">
        <f>E25</f>
        <v>90.531143910912022</v>
      </c>
      <c r="H66" s="100">
        <f>E26</f>
        <v>-0.81654730802102904</v>
      </c>
      <c r="I66" s="97">
        <f>E27</f>
        <v>0.62878545830739019</v>
      </c>
    </row>
    <row r="67" spans="1:9">
      <c r="A67" s="65">
        <v>26</v>
      </c>
      <c r="B67" s="98">
        <v>16</v>
      </c>
      <c r="C67" s="101">
        <v>55</v>
      </c>
      <c r="D67" s="105">
        <f>F22</f>
        <v>95.704667363746239</v>
      </c>
      <c r="E67" s="106">
        <f>F23</f>
        <v>0.48635089117722596</v>
      </c>
      <c r="F67" s="107">
        <f>F24</f>
        <v>0.40144874823119592</v>
      </c>
      <c r="G67" s="100">
        <f>F25</f>
        <v>95.357276802141925</v>
      </c>
      <c r="H67" s="100">
        <f>F26</f>
        <v>-0.36298183899848779</v>
      </c>
      <c r="I67" s="97">
        <f>F27</f>
        <v>0.39259827676908554</v>
      </c>
    </row>
    <row r="68" spans="1:9">
      <c r="A68" s="65">
        <v>26</v>
      </c>
      <c r="B68" s="98">
        <v>16</v>
      </c>
      <c r="C68" s="101">
        <v>56</v>
      </c>
      <c r="D68" s="108">
        <f>G22</f>
        <v>25.378378537774655</v>
      </c>
      <c r="E68" s="100">
        <f>G23</f>
        <v>0.61004936875178439</v>
      </c>
      <c r="F68" s="97">
        <f>G24</f>
        <v>0.44885705865353942</v>
      </c>
      <c r="G68" s="100">
        <f>G25</f>
        <v>25.046938905776774</v>
      </c>
      <c r="H68" s="100">
        <f>G23</f>
        <v>0.61004936875178439</v>
      </c>
      <c r="I68" s="97">
        <f>G24</f>
        <v>0.44885705865353942</v>
      </c>
    </row>
    <row r="69" spans="1:9">
      <c r="A69" s="65">
        <v>26</v>
      </c>
      <c r="B69" s="98">
        <v>17</v>
      </c>
      <c r="C69" s="99">
        <v>51</v>
      </c>
      <c r="D69" s="100">
        <f>C28</f>
        <v>8.2375005962523105</v>
      </c>
      <c r="E69" s="103">
        <f>C29</f>
        <v>0.32904554634126704</v>
      </c>
      <c r="F69" s="104">
        <f>C30</f>
        <v>0.20824058541362045</v>
      </c>
      <c r="G69" s="100">
        <f>C31</f>
        <v>8.923404962918978</v>
      </c>
      <c r="H69" s="100">
        <f>C32</f>
        <v>0.68590436666666754</v>
      </c>
      <c r="I69" s="97">
        <f>C33</f>
        <v>8.1067752287981073E-3</v>
      </c>
    </row>
    <row r="70" spans="1:9">
      <c r="A70" s="65">
        <v>26</v>
      </c>
      <c r="B70" s="98">
        <v>17</v>
      </c>
      <c r="C70" s="99">
        <v>52</v>
      </c>
      <c r="D70" s="100">
        <f>D28</f>
        <v>134.42555555555552</v>
      </c>
      <c r="E70" s="103">
        <f>D29</f>
        <v>11.433963663329681</v>
      </c>
      <c r="F70" s="104">
        <f>D30</f>
        <v>0.11940801885574126</v>
      </c>
      <c r="G70" s="100">
        <f>D31</f>
        <v>135.9669684844234</v>
      </c>
      <c r="H70" s="100">
        <f>D32</f>
        <v>1.1466665861989629</v>
      </c>
      <c r="I70" s="97">
        <f>D33</f>
        <v>0.87001947858425488</v>
      </c>
    </row>
    <row r="71" spans="1:9">
      <c r="A71" s="65">
        <v>26</v>
      </c>
      <c r="B71" s="98">
        <v>17</v>
      </c>
      <c r="C71" s="99">
        <v>54</v>
      </c>
      <c r="D71" s="100">
        <f>E28</f>
        <v>97.646217435608278</v>
      </c>
      <c r="E71" s="103">
        <f>E29</f>
        <v>0.9189060558252139</v>
      </c>
      <c r="F71" s="104">
        <f>E30</f>
        <v>7.409582934521465E-3</v>
      </c>
      <c r="G71" s="100">
        <f>E31</f>
        <v>94.563522378877821</v>
      </c>
      <c r="H71" s="100">
        <f>E32</f>
        <v>-3.0826950567304578</v>
      </c>
      <c r="I71" s="97">
        <f>E33</f>
        <v>1.6172417137484962E-2</v>
      </c>
    </row>
    <row r="72" spans="1:9">
      <c r="A72" s="65">
        <v>26</v>
      </c>
      <c r="B72" s="98">
        <v>17</v>
      </c>
      <c r="C72" s="101">
        <v>55</v>
      </c>
      <c r="D72" s="105">
        <f>F28</f>
        <v>98.465400416971534</v>
      </c>
      <c r="E72" s="106">
        <f>F29</f>
        <v>0.9189060558252139</v>
      </c>
      <c r="F72" s="107">
        <f>F30</f>
        <v>7.409582934521465E-3</v>
      </c>
      <c r="G72" s="100">
        <f>F31</f>
        <v>97.645456478623757</v>
      </c>
      <c r="H72" s="100">
        <f>F32</f>
        <v>-0.83272290050674247</v>
      </c>
      <c r="I72" s="97">
        <f>F33</f>
        <v>0.2909437074253618</v>
      </c>
    </row>
    <row r="73" spans="1:9">
      <c r="A73" s="65">
        <v>26</v>
      </c>
      <c r="B73" s="98">
        <v>17</v>
      </c>
      <c r="C73" s="101">
        <v>56</v>
      </c>
      <c r="D73" s="108">
        <f>G28</f>
        <v>34.610762629997787</v>
      </c>
      <c r="E73" s="100">
        <f>G29</f>
        <v>0.38805423115478155</v>
      </c>
      <c r="F73" s="97">
        <f>G30</f>
        <v>0.15810779058080626</v>
      </c>
      <c r="G73" s="100">
        <f>G31</f>
        <v>33.221699256546685</v>
      </c>
      <c r="H73" s="100">
        <f>G32</f>
        <v>-1.3890633734511013</v>
      </c>
      <c r="I73" s="97">
        <f>G33</f>
        <v>4.5392272404328202E-3</v>
      </c>
    </row>
    <row r="74" spans="1:9">
      <c r="A74" s="65">
        <v>26</v>
      </c>
      <c r="B74" s="98">
        <v>18</v>
      </c>
      <c r="C74" s="99">
        <v>51</v>
      </c>
      <c r="D74" s="100">
        <f>C34</f>
        <v>17.082518514703814</v>
      </c>
      <c r="E74" s="103">
        <f>C35</f>
        <v>0.58912865446960461</v>
      </c>
      <c r="F74" s="104">
        <f>C36</f>
        <v>2.7875161494961311E-2</v>
      </c>
      <c r="G74" s="100">
        <f>C37</f>
        <v>18.100816814703812</v>
      </c>
      <c r="H74" s="100">
        <f>C38</f>
        <v>1.0182982999999979</v>
      </c>
      <c r="I74" s="97">
        <f>C39</f>
        <v>7.3341679295056011E-4</v>
      </c>
    </row>
    <row r="75" spans="1:9">
      <c r="A75" s="65">
        <v>26</v>
      </c>
      <c r="B75" s="98">
        <v>18</v>
      </c>
      <c r="C75" s="99">
        <v>52</v>
      </c>
      <c r="D75" s="100">
        <f>D34</f>
        <v>81.591111111111147</v>
      </c>
      <c r="E75" s="103">
        <f>D35</f>
        <v>-6.907823507601015</v>
      </c>
      <c r="F75" s="104">
        <f>D36</f>
        <v>0.36269409113277218</v>
      </c>
      <c r="G75" s="100">
        <f>D37</f>
        <v>87.964922533757814</v>
      </c>
      <c r="H75" s="100">
        <f>D38</f>
        <v>7.8118943789928101</v>
      </c>
      <c r="I75" s="97">
        <f>D39</f>
        <v>0.33151985927500505</v>
      </c>
    </row>
    <row r="76" spans="1:9">
      <c r="A76" s="65">
        <v>26</v>
      </c>
      <c r="B76" s="98">
        <v>18</v>
      </c>
      <c r="C76" s="99">
        <v>54</v>
      </c>
      <c r="D76" s="100">
        <f>E34</f>
        <v>97.526348220541948</v>
      </c>
      <c r="E76" s="103">
        <f>E35</f>
        <v>3.2713073161640294</v>
      </c>
      <c r="F76" s="104">
        <f>E36</f>
        <v>0.35956938664396376</v>
      </c>
      <c r="G76" s="100">
        <f>E37</f>
        <v>97.766808593682995</v>
      </c>
      <c r="H76" s="100">
        <f>E38</f>
        <v>0.24046037314104751</v>
      </c>
      <c r="I76" s="97">
        <f>E39</f>
        <v>0.65756099984539218</v>
      </c>
    </row>
    <row r="77" spans="1:9">
      <c r="A77" s="65">
        <v>26</v>
      </c>
      <c r="B77" s="98">
        <v>18</v>
      </c>
      <c r="C77" s="101">
        <v>55</v>
      </c>
      <c r="D77" s="105">
        <f>F34</f>
        <v>78.495790105988505</v>
      </c>
      <c r="E77" s="106">
        <f>F35</f>
        <v>3.2713073161640294</v>
      </c>
      <c r="F77" s="107">
        <f>F36</f>
        <v>0.35956938664396376</v>
      </c>
      <c r="G77" s="100">
        <f>F37</f>
        <v>74.246577047515032</v>
      </c>
      <c r="H77" s="100">
        <f>F38</f>
        <v>-5.4133005766755051</v>
      </c>
      <c r="I77" s="97">
        <f>F39</f>
        <v>0.29007110520253543</v>
      </c>
    </row>
    <row r="78" spans="1:9">
      <c r="A78" s="65">
        <v>26</v>
      </c>
      <c r="B78" s="98">
        <v>18</v>
      </c>
      <c r="C78" s="101">
        <v>56</v>
      </c>
      <c r="D78" s="108">
        <f>G34</f>
        <v>6.8947433163108123</v>
      </c>
      <c r="E78" s="100">
        <f>G35</f>
        <v>0.24597749102519689</v>
      </c>
      <c r="F78" s="97">
        <f>G36</f>
        <v>0.45792955400215829</v>
      </c>
      <c r="G78" s="100">
        <f>G37</f>
        <v>6.5632672840053505</v>
      </c>
      <c r="H78" s="100">
        <f>G38</f>
        <v>-0.33147603230546174</v>
      </c>
      <c r="I78" s="97">
        <f>G39</f>
        <v>0.30535477173306469</v>
      </c>
    </row>
    <row r="79" spans="1:9">
      <c r="A79" s="65">
        <v>26</v>
      </c>
      <c r="B79" s="98">
        <v>19</v>
      </c>
      <c r="C79" s="99">
        <v>51</v>
      </c>
      <c r="D79" s="100">
        <f>C40</f>
        <v>18.964587810133533</v>
      </c>
      <c r="E79" s="103">
        <f>C41</f>
        <v>1.0243831224156477</v>
      </c>
      <c r="F79" s="104">
        <f>C42</f>
        <v>1.2905700627864633E-3</v>
      </c>
      <c r="G79" s="100">
        <f>C43</f>
        <v>19.385961443466876</v>
      </c>
      <c r="H79" s="100">
        <f>C44</f>
        <v>0.42137363333334221</v>
      </c>
      <c r="I79" s="97">
        <f>C45</f>
        <v>0.18794817924459528</v>
      </c>
    </row>
    <row r="80" spans="1:9">
      <c r="A80" s="65">
        <v>26</v>
      </c>
      <c r="B80" s="98">
        <v>19</v>
      </c>
      <c r="C80" s="99">
        <v>52</v>
      </c>
      <c r="D80" s="100">
        <f>D40</f>
        <v>104.5488888888889</v>
      </c>
      <c r="E80" s="100">
        <f>D41</f>
        <v>12.906637004078654</v>
      </c>
      <c r="F80" s="104">
        <f>D42</f>
        <v>0.29312780998952948</v>
      </c>
      <c r="G80" s="100">
        <f>D43</f>
        <v>126.16481743506218</v>
      </c>
      <c r="H80" s="100">
        <f>D44</f>
        <v>20.675426373154448</v>
      </c>
      <c r="I80" s="97">
        <f>D45</f>
        <v>7.6713726980009292E-2</v>
      </c>
    </row>
    <row r="81" spans="1:9">
      <c r="A81" s="65">
        <v>26</v>
      </c>
      <c r="B81" s="98">
        <v>19</v>
      </c>
      <c r="C81" s="99">
        <v>54</v>
      </c>
      <c r="D81" s="100">
        <f>E40</f>
        <v>89.365770185694217</v>
      </c>
      <c r="E81" s="103">
        <f>E41</f>
        <v>-6.4898754302956663</v>
      </c>
      <c r="F81" s="104">
        <f>E42</f>
        <v>0.28058400634841407</v>
      </c>
      <c r="G81" s="100">
        <f>E43</f>
        <v>92.496094551734927</v>
      </c>
      <c r="H81" s="100">
        <f>E44</f>
        <v>3.1303243660407105</v>
      </c>
      <c r="I81" s="97">
        <f>E45</f>
        <v>0.1597471158934729</v>
      </c>
    </row>
    <row r="82" spans="1:9">
      <c r="A82" s="65">
        <v>26</v>
      </c>
      <c r="B82" s="98">
        <v>19</v>
      </c>
      <c r="C82" s="101">
        <v>55</v>
      </c>
      <c r="D82" s="105">
        <f>F40</f>
        <v>62.164659109432606</v>
      </c>
      <c r="E82" s="106">
        <f>F41</f>
        <v>-6.4898754302956663</v>
      </c>
      <c r="F82" s="107">
        <f>F42</f>
        <v>0.28058400634841407</v>
      </c>
      <c r="G82" s="100">
        <f>F43</f>
        <v>55.155484485020459</v>
      </c>
      <c r="H82" s="100">
        <f>F44</f>
        <v>-11.275175839174842</v>
      </c>
      <c r="I82" s="97">
        <f>F45</f>
        <v>0.11452984889389084</v>
      </c>
    </row>
    <row r="83" spans="1:9">
      <c r="A83" s="65">
        <v>26</v>
      </c>
      <c r="B83" s="98">
        <v>19</v>
      </c>
      <c r="C83" s="101">
        <v>56</v>
      </c>
      <c r="D83" s="108">
        <f>G40</f>
        <v>3.9249448330636447</v>
      </c>
      <c r="E83" s="106">
        <f>G41</f>
        <v>-0.14774692278320389</v>
      </c>
      <c r="F83" s="109">
        <f>G42</f>
        <v>0.71414802246281706</v>
      </c>
      <c r="G83" s="100">
        <f>G43</f>
        <v>3.6054270306853193</v>
      </c>
      <c r="H83" s="100">
        <f>G44</f>
        <v>-0.31951780237832539</v>
      </c>
      <c r="I83" s="97">
        <f>G45</f>
        <v>0.30745915248713451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9"/>
  <dimension ref="A1:O83"/>
  <sheetViews>
    <sheetView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1" width="9.28515625" style="27" bestFit="1" customWidth="1"/>
    <col min="12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19.230211467944596</v>
      </c>
      <c r="D4" s="31">
        <v>133.2294444444444</v>
      </c>
      <c r="E4" s="30">
        <v>93.974236989567473</v>
      </c>
      <c r="F4" s="30">
        <v>97.603945816241051</v>
      </c>
      <c r="G4" s="130">
        <v>6.4194746984249251</v>
      </c>
    </row>
    <row r="5" spans="1:8" ht="18.75">
      <c r="A5" s="178"/>
      <c r="B5" s="21" t="s">
        <v>17</v>
      </c>
      <c r="C5" s="131">
        <v>0.994360995446812</v>
      </c>
      <c r="D5" s="33">
        <v>-8.9190582128291105</v>
      </c>
      <c r="E5" s="34">
        <v>0.18265793428470065</v>
      </c>
      <c r="F5" s="34">
        <v>0.18265793428470065</v>
      </c>
      <c r="G5" s="132">
        <v>-0.40077781833378734</v>
      </c>
    </row>
    <row r="6" spans="1:8">
      <c r="A6" s="178"/>
      <c r="B6" s="22" t="s">
        <v>18</v>
      </c>
      <c r="C6" s="133">
        <v>5.431051548072265E-4</v>
      </c>
      <c r="D6" s="37">
        <v>0.41697847154109513</v>
      </c>
      <c r="E6" s="37">
        <v>0.78813788105152005</v>
      </c>
      <c r="F6" s="37">
        <v>0.78813788105152005</v>
      </c>
      <c r="G6" s="134">
        <v>1.0696066352374843E-2</v>
      </c>
    </row>
    <row r="7" spans="1:8" ht="18.75">
      <c r="A7" s="178"/>
      <c r="B7" s="23" t="s">
        <v>19</v>
      </c>
      <c r="C7" s="78">
        <v>20.057785967944593</v>
      </c>
      <c r="D7" s="38">
        <v>130.62921824061976</v>
      </c>
      <c r="E7" s="112">
        <v>94.259794821530519</v>
      </c>
      <c r="F7" s="10">
        <v>97.672184446629515</v>
      </c>
      <c r="G7" s="113">
        <v>6.4421427658404529</v>
      </c>
    </row>
    <row r="8" spans="1:8" ht="18.75">
      <c r="A8" s="178"/>
      <c r="B8" s="21" t="s">
        <v>20</v>
      </c>
      <c r="C8" s="135">
        <v>0.82757449999999722</v>
      </c>
      <c r="D8" s="40">
        <v>-1.9516903449288983</v>
      </c>
      <c r="E8" s="136">
        <v>0.28555783196304674</v>
      </c>
      <c r="F8" s="10">
        <v>6.9913802990026613E-2</v>
      </c>
      <c r="G8" s="137">
        <v>2.2668067415527737E-2</v>
      </c>
    </row>
    <row r="9" spans="1:8" ht="16.5" thickBot="1">
      <c r="A9" s="179"/>
      <c r="B9" s="25" t="s">
        <v>21</v>
      </c>
      <c r="C9" s="146">
        <v>8.5377964928930791E-3</v>
      </c>
      <c r="D9" s="139">
        <v>0.7847084112346856</v>
      </c>
      <c r="E9" s="147">
        <v>0.80896934289060152</v>
      </c>
      <c r="F9" s="47">
        <v>0.9434484748077816</v>
      </c>
      <c r="G9" s="141">
        <v>0.8329747452921834</v>
      </c>
    </row>
    <row r="10" spans="1:8" ht="18.75">
      <c r="A10" s="180" t="s">
        <v>2</v>
      </c>
      <c r="B10" s="20" t="s">
        <v>16</v>
      </c>
      <c r="C10" s="129">
        <v>10.003202211588738</v>
      </c>
      <c r="D10" s="31">
        <v>103.0611111111111</v>
      </c>
      <c r="E10" s="30">
        <v>90.512134640857496</v>
      </c>
      <c r="F10" s="30">
        <v>92.384216997877758</v>
      </c>
      <c r="G10" s="130">
        <v>5.8431659664869136</v>
      </c>
    </row>
    <row r="11" spans="1:8" ht="18.75">
      <c r="A11" s="178"/>
      <c r="B11" s="21" t="s">
        <v>17</v>
      </c>
      <c r="C11" s="131">
        <v>0.34351563623472525</v>
      </c>
      <c r="D11" s="33">
        <v>1.5358546533185</v>
      </c>
      <c r="E11" s="34">
        <v>0.64479907579911278</v>
      </c>
      <c r="F11" s="34">
        <v>0.64479907579911278</v>
      </c>
      <c r="G11" s="132">
        <v>0.15746068311605035</v>
      </c>
    </row>
    <row r="12" spans="1:8">
      <c r="A12" s="178"/>
      <c r="B12" s="22" t="s">
        <v>18</v>
      </c>
      <c r="C12" s="133">
        <v>0.15229911624382253</v>
      </c>
      <c r="D12" s="37">
        <v>0.80087229437021312</v>
      </c>
      <c r="E12" s="37">
        <v>0.59227576847080954</v>
      </c>
      <c r="F12" s="37">
        <v>0.59227576847080954</v>
      </c>
      <c r="G12" s="134">
        <v>7.2564244766815264E-2</v>
      </c>
    </row>
    <row r="13" spans="1:8" ht="18.75">
      <c r="A13" s="178"/>
      <c r="B13" s="23" t="s">
        <v>19</v>
      </c>
      <c r="C13" s="78">
        <v>11.585027211588738</v>
      </c>
      <c r="D13" s="38">
        <v>107.36383606441468</v>
      </c>
      <c r="E13" s="112">
        <v>97.847202148265524</v>
      </c>
      <c r="F13" s="10">
        <v>92.424268807927533</v>
      </c>
      <c r="G13" s="113">
        <v>6.3209091190755426</v>
      </c>
    </row>
    <row r="14" spans="1:8" ht="18.75">
      <c r="A14" s="178"/>
      <c r="B14" s="21" t="s">
        <v>20</v>
      </c>
      <c r="C14" s="135">
        <v>1.5818250000000003</v>
      </c>
      <c r="D14" s="10">
        <v>4.1749258346970235</v>
      </c>
      <c r="E14" s="11">
        <v>7.3350675074080272</v>
      </c>
      <c r="F14" s="10">
        <v>4.3353520061430922E-2</v>
      </c>
      <c r="G14" s="137">
        <v>0.47774315258862909</v>
      </c>
    </row>
    <row r="15" spans="1:8" ht="16.5" thickBot="1">
      <c r="A15" s="181"/>
      <c r="B15" s="26" t="s">
        <v>21</v>
      </c>
      <c r="C15" s="149">
        <v>1.2568970599669366E-6</v>
      </c>
      <c r="D15" s="48">
        <v>0.62261775270651865</v>
      </c>
      <c r="E15" s="121">
        <v>2.8171778941571428E-6</v>
      </c>
      <c r="F15" s="43">
        <v>0.97747870568219142</v>
      </c>
      <c r="G15" s="143">
        <v>1.3562727424328317E-3</v>
      </c>
    </row>
    <row r="16" spans="1:8" ht="18.75">
      <c r="A16" s="177" t="s">
        <v>3</v>
      </c>
      <c r="B16" s="24" t="s">
        <v>16</v>
      </c>
      <c r="C16" s="144">
        <v>0.41992592579540233</v>
      </c>
      <c r="D16" s="45">
        <v>42.933888888888887</v>
      </c>
      <c r="E16" s="44">
        <v>78.03602935548632</v>
      </c>
      <c r="F16" s="44">
        <v>74.847102035491815</v>
      </c>
      <c r="G16" s="145">
        <v>2.9536758976144335</v>
      </c>
    </row>
    <row r="17" spans="1:7" ht="18.75">
      <c r="A17" s="178"/>
      <c r="B17" s="21" t="s">
        <v>17</v>
      </c>
      <c r="C17" s="131">
        <v>1.2692176493444485</v>
      </c>
      <c r="D17" s="33">
        <v>2.4647015202076323</v>
      </c>
      <c r="E17" s="34">
        <v>6.9269102421124416</v>
      </c>
      <c r="F17" s="34">
        <v>6.9269102421124416</v>
      </c>
      <c r="G17" s="132">
        <v>0.32775194917296269</v>
      </c>
    </row>
    <row r="18" spans="1:7">
      <c r="A18" s="178"/>
      <c r="B18" s="22" t="s">
        <v>18</v>
      </c>
      <c r="C18" s="133">
        <v>4.0254508785281869E-2</v>
      </c>
      <c r="D18" s="37">
        <v>0.48118369268797911</v>
      </c>
      <c r="E18" s="37">
        <v>8.8315421998551372E-2</v>
      </c>
      <c r="F18" s="37">
        <v>8.8315421998551372E-2</v>
      </c>
      <c r="G18" s="134">
        <v>8.2748007636110524E-2</v>
      </c>
    </row>
    <row r="19" spans="1:7" ht="18.75">
      <c r="A19" s="178"/>
      <c r="B19" s="23" t="s">
        <v>19</v>
      </c>
      <c r="C19" s="78">
        <v>1.9712681257954023</v>
      </c>
      <c r="D19" s="38">
        <v>44.489405082422927</v>
      </c>
      <c r="E19" s="112">
        <v>86.510803178616811</v>
      </c>
      <c r="F19" s="10">
        <v>76.011033078024482</v>
      </c>
      <c r="G19" s="113">
        <v>3.3934322976853033</v>
      </c>
    </row>
    <row r="20" spans="1:7" ht="18.75">
      <c r="A20" s="178"/>
      <c r="B20" s="21" t="s">
        <v>20</v>
      </c>
      <c r="C20" s="135">
        <v>1.5513422000000001</v>
      </c>
      <c r="D20" s="10">
        <v>3.6230498419550381</v>
      </c>
      <c r="E20" s="11">
        <v>8.4747738231304908</v>
      </c>
      <c r="F20" s="10">
        <v>1.5550783008014644</v>
      </c>
      <c r="G20" s="137">
        <v>0.4397564000708698</v>
      </c>
    </row>
    <row r="21" spans="1:7" ht="16.5" thickBot="1">
      <c r="A21" s="179"/>
      <c r="B21" s="25" t="s">
        <v>21</v>
      </c>
      <c r="C21" s="146">
        <v>6.8640749907012862E-3</v>
      </c>
      <c r="D21" s="46">
        <v>0.73032041916800094</v>
      </c>
      <c r="E21" s="89">
        <v>5.3939134101755057E-3</v>
      </c>
      <c r="F21" s="47">
        <v>0.6287644414218454</v>
      </c>
      <c r="G21" s="141">
        <v>2.351769116319212E-2</v>
      </c>
    </row>
    <row r="22" spans="1:7" ht="18.75">
      <c r="A22" s="180" t="s">
        <v>4</v>
      </c>
      <c r="B22" s="20" t="s">
        <v>16</v>
      </c>
      <c r="C22" s="129">
        <v>-4.6849579013209333</v>
      </c>
      <c r="D22" s="31">
        <v>114.06</v>
      </c>
      <c r="E22" s="30">
        <v>81.678785529420367</v>
      </c>
      <c r="F22" s="30">
        <v>96.75396368292995</v>
      </c>
      <c r="G22" s="130">
        <v>22.953184742983815</v>
      </c>
    </row>
    <row r="23" spans="1:7" ht="18.75">
      <c r="A23" s="178"/>
      <c r="B23" s="21" t="s">
        <v>17</v>
      </c>
      <c r="C23" s="131">
        <v>0.39486619546758106</v>
      </c>
      <c r="D23" s="33">
        <v>-0.20244716351499634</v>
      </c>
      <c r="E23" s="34">
        <v>5.541442906027097E-2</v>
      </c>
      <c r="F23" s="34">
        <v>5.541442906027097E-2</v>
      </c>
      <c r="G23" s="132">
        <v>0.82141226056662819</v>
      </c>
    </row>
    <row r="24" spans="1:7">
      <c r="A24" s="178"/>
      <c r="B24" s="22" t="s">
        <v>18</v>
      </c>
      <c r="C24" s="133">
        <v>0.4394725222760737</v>
      </c>
      <c r="D24" s="37">
        <v>0.97658721075674204</v>
      </c>
      <c r="E24" s="37">
        <v>0.93524101706757756</v>
      </c>
      <c r="F24" s="37">
        <v>0.93524101706757756</v>
      </c>
      <c r="G24" s="134">
        <v>0.44356409011189124</v>
      </c>
    </row>
    <row r="25" spans="1:7" ht="18.75">
      <c r="A25" s="178"/>
      <c r="B25" s="23" t="s">
        <v>19</v>
      </c>
      <c r="C25" s="78">
        <v>-3.0912507457653779</v>
      </c>
      <c r="D25" s="38">
        <v>129.0361106081277</v>
      </c>
      <c r="E25" s="112">
        <v>86.819960141335102</v>
      </c>
      <c r="F25" s="10">
        <v>96.286109731036774</v>
      </c>
      <c r="G25" s="113">
        <v>24.287851680307639</v>
      </c>
    </row>
    <row r="26" spans="1:7" ht="18.75">
      <c r="A26" s="178"/>
      <c r="B26" s="21" t="s">
        <v>20</v>
      </c>
      <c r="C26" s="135">
        <v>1.5937071555555551</v>
      </c>
      <c r="D26" s="10">
        <v>13.130028588574177</v>
      </c>
      <c r="E26" s="11">
        <v>5.1411746119147352</v>
      </c>
      <c r="F26" s="10">
        <v>-0.48355016588919669</v>
      </c>
      <c r="G26" s="115">
        <v>1.3346669373238242</v>
      </c>
    </row>
    <row r="27" spans="1:7" ht="16.5" thickBot="1">
      <c r="A27" s="181"/>
      <c r="B27" s="26" t="s">
        <v>21</v>
      </c>
      <c r="C27" s="149">
        <v>5.4413897931812043E-3</v>
      </c>
      <c r="D27" s="48">
        <v>3.5173941416737617E-2</v>
      </c>
      <c r="E27" s="121">
        <v>4.9889055689778014E-2</v>
      </c>
      <c r="F27" s="43">
        <v>0.33054408626154741</v>
      </c>
      <c r="G27" s="168">
        <v>7.8000815816991323E-2</v>
      </c>
    </row>
    <row r="28" spans="1:7" ht="18.75">
      <c r="A28" s="177" t="s">
        <v>5</v>
      </c>
      <c r="B28" s="24" t="s">
        <v>16</v>
      </c>
      <c r="C28" s="144">
        <v>7.6749018327202583</v>
      </c>
      <c r="D28" s="45">
        <v>128.76166666666668</v>
      </c>
      <c r="E28" s="44">
        <v>97.787350354275262</v>
      </c>
      <c r="F28" s="44">
        <v>98.099396629956303</v>
      </c>
      <c r="G28" s="145">
        <v>34.534076474844063</v>
      </c>
    </row>
    <row r="29" spans="1:7" ht="18.75">
      <c r="A29" s="178"/>
      <c r="B29" s="21" t="s">
        <v>17</v>
      </c>
      <c r="C29" s="131">
        <v>0.69913049673739469</v>
      </c>
      <c r="D29" s="33">
        <v>-8.1015943641083457E-2</v>
      </c>
      <c r="E29" s="34">
        <v>-0.30626749303687023</v>
      </c>
      <c r="F29" s="34">
        <v>-0.30626749303687023</v>
      </c>
      <c r="G29" s="132">
        <v>0.28145176810949646</v>
      </c>
    </row>
    <row r="30" spans="1:7">
      <c r="A30" s="178"/>
      <c r="B30" s="22" t="s">
        <v>18</v>
      </c>
      <c r="C30" s="133">
        <v>1.4826665657374524E-2</v>
      </c>
      <c r="D30" s="37">
        <v>0.99124566722954099</v>
      </c>
      <c r="E30" s="49">
        <v>0.49440618969984307</v>
      </c>
      <c r="F30" s="49">
        <v>0.49440618969984307</v>
      </c>
      <c r="G30" s="134">
        <v>0.45887147855610932</v>
      </c>
    </row>
    <row r="31" spans="1:7" ht="18.75">
      <c r="A31" s="178"/>
      <c r="B31" s="23" t="s">
        <v>19</v>
      </c>
      <c r="C31" s="78">
        <v>8.5151822882758132</v>
      </c>
      <c r="D31" s="38">
        <v>136.19512074868038</v>
      </c>
      <c r="E31" s="112">
        <v>96.251254214566885</v>
      </c>
      <c r="F31" s="10">
        <v>97.124771604543213</v>
      </c>
      <c r="G31" s="113">
        <v>33.646089819918835</v>
      </c>
    </row>
    <row r="32" spans="1:7" ht="18.75">
      <c r="A32" s="178"/>
      <c r="B32" s="21" t="s">
        <v>20</v>
      </c>
      <c r="C32" s="135">
        <v>0.84028045555555586</v>
      </c>
      <c r="D32" s="10">
        <v>5.7730334457825334</v>
      </c>
      <c r="E32" s="11">
        <v>-1.536096139708377</v>
      </c>
      <c r="F32" s="10">
        <v>-0.99350766558688131</v>
      </c>
      <c r="G32" s="115">
        <v>-0.88798665492522844</v>
      </c>
    </row>
    <row r="33" spans="1:15" ht="16.5" thickBot="1">
      <c r="A33" s="179"/>
      <c r="B33" s="25" t="s">
        <v>21</v>
      </c>
      <c r="C33" s="146">
        <v>4.3407718369948998E-3</v>
      </c>
      <c r="D33" s="46">
        <v>0.43806238274323628</v>
      </c>
      <c r="E33" s="117">
        <v>9.4514786306422183E-2</v>
      </c>
      <c r="F33" s="47">
        <v>4.9237137482047749E-2</v>
      </c>
      <c r="G33" s="118">
        <v>1.7591587674579332E-2</v>
      </c>
    </row>
    <row r="34" spans="1:15" ht="18.75">
      <c r="A34" s="177" t="s">
        <v>6</v>
      </c>
      <c r="B34" s="24" t="s">
        <v>16</v>
      </c>
      <c r="C34" s="129">
        <v>17.958129632066797</v>
      </c>
      <c r="D34" s="31">
        <v>68.751666666666637</v>
      </c>
      <c r="E34" s="30">
        <v>92.648621316214474</v>
      </c>
      <c r="F34" s="30">
        <v>83.977668437115881</v>
      </c>
      <c r="G34" s="130">
        <v>6.9687959755461062</v>
      </c>
    </row>
    <row r="35" spans="1:15" ht="18.75">
      <c r="A35" s="178"/>
      <c r="B35" s="21" t="s">
        <v>17</v>
      </c>
      <c r="C35" s="131">
        <v>0.44660611090296776</v>
      </c>
      <c r="D35" s="33">
        <v>-13.373044123099771</v>
      </c>
      <c r="E35" s="34">
        <v>5.3023814142421735</v>
      </c>
      <c r="F35" s="34">
        <v>5.3023814142421735</v>
      </c>
      <c r="G35" s="132">
        <v>0.30273309633464462</v>
      </c>
    </row>
    <row r="36" spans="1:15">
      <c r="A36" s="178"/>
      <c r="B36" s="22" t="s">
        <v>18</v>
      </c>
      <c r="C36" s="133">
        <v>0.268299920300133</v>
      </c>
      <c r="D36" s="37">
        <v>3.832187035947561E-2</v>
      </c>
      <c r="E36" s="37">
        <v>5.2092408347826448E-2</v>
      </c>
      <c r="F36" s="37">
        <v>5.2092408347826448E-2</v>
      </c>
      <c r="G36" s="134">
        <v>0.22909459251754993</v>
      </c>
    </row>
    <row r="37" spans="1:15" ht="18.75">
      <c r="A37" s="178"/>
      <c r="B37" s="23" t="s">
        <v>19</v>
      </c>
      <c r="C37" s="78">
        <v>19.028782732066794</v>
      </c>
      <c r="D37" s="38">
        <v>67.358981355166392</v>
      </c>
      <c r="E37" s="112">
        <v>92.111650318771467</v>
      </c>
      <c r="F37" s="10">
        <v>85.275858996425654</v>
      </c>
      <c r="G37" s="113">
        <v>7.0226533189537257</v>
      </c>
    </row>
    <row r="38" spans="1:15" ht="18.75">
      <c r="A38" s="178"/>
      <c r="B38" s="21" t="s">
        <v>20</v>
      </c>
      <c r="C38" s="135">
        <v>1.0706530999999977</v>
      </c>
      <c r="D38" s="10">
        <v>-2.0256749821826112</v>
      </c>
      <c r="E38" s="11">
        <v>-0.53697099744300658</v>
      </c>
      <c r="F38" s="10">
        <v>1.5458759256716896</v>
      </c>
      <c r="G38" s="115">
        <v>5.3857343407619496E-2</v>
      </c>
    </row>
    <row r="39" spans="1:15" ht="16.5" thickBot="1">
      <c r="A39" s="179"/>
      <c r="B39" s="25" t="s">
        <v>21</v>
      </c>
      <c r="C39" s="149">
        <v>8.3698039386209374E-4</v>
      </c>
      <c r="D39" s="48">
        <v>0.78061997655867588</v>
      </c>
      <c r="E39" s="121">
        <v>0.43215394319166978</v>
      </c>
      <c r="F39" s="43">
        <v>0.76616002243896864</v>
      </c>
      <c r="G39" s="122">
        <v>0.86666199590748261</v>
      </c>
    </row>
    <row r="40" spans="1:15" ht="18.75">
      <c r="A40" s="180" t="s">
        <v>7</v>
      </c>
      <c r="B40" s="20" t="s">
        <v>16</v>
      </c>
      <c r="C40" s="144">
        <v>19.771114696810326</v>
      </c>
      <c r="D40" s="45">
        <v>79.677222222222184</v>
      </c>
      <c r="E40" s="44">
        <v>92.067108545447724</v>
      </c>
      <c r="F40" s="44">
        <v>74.264852193046281</v>
      </c>
      <c r="G40" s="145">
        <v>4.7996420300702685</v>
      </c>
    </row>
    <row r="41" spans="1:15" ht="18.75">
      <c r="A41" s="178"/>
      <c r="B41" s="21" t="s">
        <v>17</v>
      </c>
      <c r="C41" s="131">
        <v>1.0616032168600251</v>
      </c>
      <c r="D41" s="33">
        <v>2.3823136818687147</v>
      </c>
      <c r="E41" s="34">
        <v>-1.1884742660310124</v>
      </c>
      <c r="F41" s="34">
        <v>-1.1884742660310124</v>
      </c>
      <c r="G41" s="132">
        <v>0.30273309633464462</v>
      </c>
    </row>
    <row r="42" spans="1:15">
      <c r="A42" s="178"/>
      <c r="B42" s="22" t="s">
        <v>18</v>
      </c>
      <c r="C42" s="133">
        <v>3.1059585160299707E-3</v>
      </c>
      <c r="D42" s="37">
        <v>0.77550991123506674</v>
      </c>
      <c r="E42" s="49">
        <v>0.74924825085105506</v>
      </c>
      <c r="F42" s="49">
        <v>0.74924825085105506</v>
      </c>
      <c r="G42" s="134">
        <v>0.22909459251754993</v>
      </c>
    </row>
    <row r="43" spans="1:15" ht="18.75">
      <c r="A43" s="178"/>
      <c r="B43" s="23" t="s">
        <v>19</v>
      </c>
      <c r="C43" s="78">
        <v>20.387726596810332</v>
      </c>
      <c r="D43" s="38">
        <v>77.834738956777315</v>
      </c>
      <c r="E43" s="112">
        <v>95.890782703246884</v>
      </c>
      <c r="F43" s="10">
        <v>75.680064165958001</v>
      </c>
      <c r="G43" s="113">
        <v>5.0581296801225335</v>
      </c>
    </row>
    <row r="44" spans="1:15" ht="18.75">
      <c r="A44" s="178"/>
      <c r="B44" s="21" t="s">
        <v>20</v>
      </c>
      <c r="C44" s="135">
        <v>0.61661190000000587</v>
      </c>
      <c r="D44" s="10">
        <v>-2.3124341111015676</v>
      </c>
      <c r="E44" s="11">
        <v>3.8236741577991609</v>
      </c>
      <c r="F44" s="10">
        <v>1.9056282092004582</v>
      </c>
      <c r="G44" s="137">
        <v>0.25848765005226504</v>
      </c>
    </row>
    <row r="45" spans="1:15" ht="16.5" thickBot="1">
      <c r="A45" s="179"/>
      <c r="B45" s="25" t="s">
        <v>21</v>
      </c>
      <c r="C45" s="149">
        <v>7.254862662633374E-2</v>
      </c>
      <c r="D45" s="48">
        <v>0.80678056974574541</v>
      </c>
      <c r="E45" s="121">
        <v>7.1247576996334008E-2</v>
      </c>
      <c r="F45" s="43">
        <v>0.75474126963703503</v>
      </c>
      <c r="G45" s="143">
        <v>0.40435015526802043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19.230211467944596</v>
      </c>
      <c r="E49" s="100">
        <f>C5</f>
        <v>0.994360995446812</v>
      </c>
      <c r="F49" s="97">
        <f>C6</f>
        <v>5.431051548072265E-4</v>
      </c>
      <c r="G49" s="100">
        <f>C7</f>
        <v>20.057785967944593</v>
      </c>
      <c r="H49" s="100">
        <f>C8</f>
        <v>0.82757449999999722</v>
      </c>
      <c r="I49" s="97">
        <f>C9</f>
        <v>8.5377964928930791E-3</v>
      </c>
    </row>
    <row r="50" spans="1:9">
      <c r="A50" s="65">
        <v>26</v>
      </c>
      <c r="B50" s="98">
        <v>13</v>
      </c>
      <c r="C50" s="99">
        <v>52</v>
      </c>
      <c r="D50" s="100">
        <f>D4</f>
        <v>133.2294444444444</v>
      </c>
      <c r="E50" s="100">
        <f>D5</f>
        <v>-8.9190582128291105</v>
      </c>
      <c r="F50" s="97">
        <f>D6</f>
        <v>0.41697847154109513</v>
      </c>
      <c r="G50" s="100">
        <f>D7</f>
        <v>130.62921824061976</v>
      </c>
      <c r="H50" s="100">
        <f>D8</f>
        <v>-1.9516903449288983</v>
      </c>
      <c r="I50" s="97">
        <f>D9</f>
        <v>0.7847084112346856</v>
      </c>
    </row>
    <row r="51" spans="1:9">
      <c r="A51" s="65">
        <v>26</v>
      </c>
      <c r="B51" s="98">
        <v>13</v>
      </c>
      <c r="C51" s="99">
        <v>54</v>
      </c>
      <c r="D51" s="100">
        <f>E4</f>
        <v>93.974236989567473</v>
      </c>
      <c r="E51" s="100">
        <f>E5</f>
        <v>0.18265793428470065</v>
      </c>
      <c r="F51" s="97">
        <f>E6</f>
        <v>0.78813788105152005</v>
      </c>
      <c r="G51" s="100">
        <f>E7</f>
        <v>94.259794821530519</v>
      </c>
      <c r="H51" s="100">
        <f>E8</f>
        <v>0.28555783196304674</v>
      </c>
      <c r="I51" s="97">
        <f>E9</f>
        <v>0.80896934289060152</v>
      </c>
    </row>
    <row r="52" spans="1:9">
      <c r="A52" s="65">
        <v>26</v>
      </c>
      <c r="B52" s="98">
        <v>13</v>
      </c>
      <c r="C52" s="101">
        <v>55</v>
      </c>
      <c r="D52" s="100">
        <f>F4</f>
        <v>97.603945816241051</v>
      </c>
      <c r="E52" s="100">
        <f>F5</f>
        <v>0.18265793428470065</v>
      </c>
      <c r="F52" s="97">
        <f>F6</f>
        <v>0.78813788105152005</v>
      </c>
      <c r="G52" s="100">
        <f>F7</f>
        <v>97.672184446629515</v>
      </c>
      <c r="H52" s="100">
        <f>F8</f>
        <v>6.9913802990026613E-2</v>
      </c>
      <c r="I52" s="97">
        <f>F9</f>
        <v>0.9434484748077816</v>
      </c>
    </row>
    <row r="53" spans="1:9">
      <c r="A53" s="65">
        <v>26</v>
      </c>
      <c r="B53" s="98">
        <v>13</v>
      </c>
      <c r="C53" s="101">
        <v>56</v>
      </c>
      <c r="D53" s="100">
        <f>G4</f>
        <v>6.4194746984249251</v>
      </c>
      <c r="E53" s="100">
        <f>G5</f>
        <v>-0.40077781833378734</v>
      </c>
      <c r="F53" s="97">
        <f>G6</f>
        <v>1.0696066352374843E-2</v>
      </c>
      <c r="G53" s="100">
        <f>G7</f>
        <v>6.4421427658404529</v>
      </c>
      <c r="H53" s="100">
        <f>G8</f>
        <v>2.2668067415527737E-2</v>
      </c>
      <c r="I53" s="97">
        <f>G9</f>
        <v>0.8329747452921834</v>
      </c>
    </row>
    <row r="54" spans="1:9">
      <c r="A54" s="65">
        <v>26</v>
      </c>
      <c r="B54" s="98">
        <v>14</v>
      </c>
      <c r="C54" s="99">
        <v>51</v>
      </c>
      <c r="D54" s="100">
        <f>C10</f>
        <v>10.003202211588738</v>
      </c>
      <c r="E54" s="100">
        <f>C11</f>
        <v>0.34351563623472525</v>
      </c>
      <c r="F54" s="97">
        <f>C12</f>
        <v>0.15229911624382253</v>
      </c>
      <c r="G54" s="100">
        <f>C13</f>
        <v>11.585027211588738</v>
      </c>
      <c r="H54" s="100">
        <f>C14</f>
        <v>1.5818250000000003</v>
      </c>
      <c r="I54" s="97">
        <f>C15</f>
        <v>1.2568970599669366E-6</v>
      </c>
    </row>
    <row r="55" spans="1:9">
      <c r="A55" s="65">
        <v>26</v>
      </c>
      <c r="B55" s="98">
        <v>14</v>
      </c>
      <c r="C55" s="99">
        <v>52</v>
      </c>
      <c r="D55" s="100">
        <f>D10</f>
        <v>103.0611111111111</v>
      </c>
      <c r="E55" s="100">
        <f>D11</f>
        <v>1.5358546533185</v>
      </c>
      <c r="F55" s="97">
        <f>D12</f>
        <v>0.80087229437021312</v>
      </c>
      <c r="G55" s="100">
        <f>D13</f>
        <v>107.36383606441468</v>
      </c>
      <c r="H55" s="100">
        <f>D14</f>
        <v>4.1749258346970235</v>
      </c>
      <c r="I55" s="97">
        <f>D15</f>
        <v>0.62261775270651865</v>
      </c>
    </row>
    <row r="56" spans="1:9">
      <c r="A56" s="65">
        <v>26</v>
      </c>
      <c r="B56" s="98">
        <v>14</v>
      </c>
      <c r="C56" s="99">
        <v>54</v>
      </c>
      <c r="D56" s="100">
        <f>E10</f>
        <v>90.512134640857496</v>
      </c>
      <c r="E56" s="100">
        <f>E11</f>
        <v>0.64479907579911278</v>
      </c>
      <c r="F56" s="97">
        <f>E12</f>
        <v>0.59227576847080954</v>
      </c>
      <c r="G56" s="100">
        <f>E13</f>
        <v>97.847202148265524</v>
      </c>
      <c r="H56" s="100">
        <f>E14</f>
        <v>7.3350675074080272</v>
      </c>
      <c r="I56" s="97">
        <f>E15</f>
        <v>2.8171778941571428E-6</v>
      </c>
    </row>
    <row r="57" spans="1:9">
      <c r="A57" s="65">
        <v>26</v>
      </c>
      <c r="B57" s="98">
        <v>14</v>
      </c>
      <c r="C57" s="101">
        <v>55</v>
      </c>
      <c r="D57" s="100">
        <f>F10</f>
        <v>92.384216997877758</v>
      </c>
      <c r="E57" s="100">
        <f>F11</f>
        <v>0.64479907579911278</v>
      </c>
      <c r="F57" s="97">
        <f>F12</f>
        <v>0.59227576847080954</v>
      </c>
      <c r="G57" s="100">
        <f>F13</f>
        <v>92.424268807927533</v>
      </c>
      <c r="H57" s="100">
        <f>F14</f>
        <v>4.3353520061430922E-2</v>
      </c>
      <c r="I57" s="97">
        <f>F15</f>
        <v>0.97747870568219142</v>
      </c>
    </row>
    <row r="58" spans="1:9">
      <c r="A58" s="65">
        <v>26</v>
      </c>
      <c r="B58" s="98">
        <v>14</v>
      </c>
      <c r="C58" s="101">
        <v>56</v>
      </c>
      <c r="D58" s="100">
        <f>G10</f>
        <v>5.8431659664869136</v>
      </c>
      <c r="E58" s="100">
        <f>G11</f>
        <v>0.15746068311605035</v>
      </c>
      <c r="F58" s="97">
        <f>G12</f>
        <v>7.2564244766815264E-2</v>
      </c>
      <c r="G58" s="100">
        <f>G13</f>
        <v>6.3209091190755426</v>
      </c>
      <c r="H58" s="100">
        <f>G14</f>
        <v>0.47774315258862909</v>
      </c>
      <c r="I58" s="97">
        <f>G15</f>
        <v>1.3562727424328317E-3</v>
      </c>
    </row>
    <row r="59" spans="1:9">
      <c r="A59" s="65">
        <v>26</v>
      </c>
      <c r="B59" s="98">
        <v>15</v>
      </c>
      <c r="C59" s="99">
        <v>51</v>
      </c>
      <c r="D59" s="100">
        <f>C16</f>
        <v>0.41992592579540233</v>
      </c>
      <c r="E59" s="100">
        <f>C17</f>
        <v>1.2692176493444485</v>
      </c>
      <c r="F59" s="97">
        <f>C18</f>
        <v>4.0254508785281869E-2</v>
      </c>
      <c r="G59" s="100">
        <f>C19</f>
        <v>1.9712681257954023</v>
      </c>
      <c r="H59" s="100">
        <f>C20</f>
        <v>1.5513422000000001</v>
      </c>
      <c r="I59" s="97">
        <f>C21</f>
        <v>6.8640749907012862E-3</v>
      </c>
    </row>
    <row r="60" spans="1:9">
      <c r="A60" s="65">
        <v>26</v>
      </c>
      <c r="B60" s="98">
        <v>15</v>
      </c>
      <c r="C60" s="99">
        <v>52</v>
      </c>
      <c r="D60" s="100">
        <f>D16</f>
        <v>42.933888888888887</v>
      </c>
      <c r="E60" s="100">
        <f>D17</f>
        <v>2.4647015202076323</v>
      </c>
      <c r="F60" s="97">
        <f>D18</f>
        <v>0.48118369268797911</v>
      </c>
      <c r="G60" s="100">
        <f>D19</f>
        <v>44.489405082422927</v>
      </c>
      <c r="H60" s="100">
        <f>D20</f>
        <v>3.6230498419550381</v>
      </c>
      <c r="I60" s="97">
        <f>D21</f>
        <v>0.73032041916800094</v>
      </c>
    </row>
    <row r="61" spans="1:9">
      <c r="A61" s="65">
        <v>26</v>
      </c>
      <c r="B61" s="98">
        <v>15</v>
      </c>
      <c r="C61" s="99">
        <v>54</v>
      </c>
      <c r="D61" s="100">
        <f>E16</f>
        <v>78.03602935548632</v>
      </c>
      <c r="E61" s="100">
        <f>E17</f>
        <v>6.9269102421124416</v>
      </c>
      <c r="F61" s="97">
        <f>E18</f>
        <v>8.8315421998551372E-2</v>
      </c>
      <c r="G61" s="100">
        <f>E19</f>
        <v>86.510803178616811</v>
      </c>
      <c r="H61" s="100">
        <f>E20</f>
        <v>8.4747738231304908</v>
      </c>
      <c r="I61" s="97">
        <f>E21</f>
        <v>5.3939134101755057E-3</v>
      </c>
    </row>
    <row r="62" spans="1:9">
      <c r="A62" s="65">
        <v>26</v>
      </c>
      <c r="B62" s="98">
        <v>15</v>
      </c>
      <c r="C62" s="101">
        <v>55</v>
      </c>
      <c r="D62" s="102">
        <f>F16</f>
        <v>74.847102035491815</v>
      </c>
      <c r="E62" s="100">
        <f>F17</f>
        <v>6.9269102421124416</v>
      </c>
      <c r="F62" s="97">
        <f>F18</f>
        <v>8.8315421998551372E-2</v>
      </c>
      <c r="G62" s="100">
        <f>F19</f>
        <v>76.011033078024482</v>
      </c>
      <c r="H62" s="100">
        <f>F20</f>
        <v>1.5550783008014644</v>
      </c>
      <c r="I62" s="97">
        <f>F21</f>
        <v>0.6287644414218454</v>
      </c>
    </row>
    <row r="63" spans="1:9">
      <c r="A63" s="65">
        <v>26</v>
      </c>
      <c r="B63" s="98">
        <v>15</v>
      </c>
      <c r="C63" s="101">
        <v>56</v>
      </c>
      <c r="D63" s="102">
        <f>G16</f>
        <v>2.9536758976144335</v>
      </c>
      <c r="E63" s="100">
        <f>G17</f>
        <v>0.32775194917296269</v>
      </c>
      <c r="F63" s="97">
        <f>G18</f>
        <v>8.2748007636110524E-2</v>
      </c>
      <c r="G63" s="100">
        <f>G19</f>
        <v>3.3934322976853033</v>
      </c>
      <c r="H63" s="100">
        <f>G20</f>
        <v>0.4397564000708698</v>
      </c>
      <c r="I63" s="97">
        <f>G21</f>
        <v>2.351769116319212E-2</v>
      </c>
    </row>
    <row r="64" spans="1:9">
      <c r="A64" s="65">
        <v>26</v>
      </c>
      <c r="B64" s="98">
        <v>16</v>
      </c>
      <c r="C64" s="99">
        <v>51</v>
      </c>
      <c r="D64" s="100">
        <f>C22</f>
        <v>-4.6849579013209333</v>
      </c>
      <c r="E64" s="103">
        <f>C23</f>
        <v>0.39486619546758106</v>
      </c>
      <c r="F64" s="104">
        <f>C24</f>
        <v>0.4394725222760737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114.06</v>
      </c>
      <c r="E65" s="103">
        <f>D23</f>
        <v>-0.20244716351499634</v>
      </c>
      <c r="F65" s="104">
        <f>D24</f>
        <v>0.97658721075674204</v>
      </c>
      <c r="G65" s="100">
        <f>D25</f>
        <v>129.0361106081277</v>
      </c>
      <c r="H65" s="100">
        <f>D26</f>
        <v>13.130028588574177</v>
      </c>
      <c r="I65" s="97">
        <f>D27</f>
        <v>3.5173941416737617E-2</v>
      </c>
    </row>
    <row r="66" spans="1:9">
      <c r="A66" s="65">
        <v>26</v>
      </c>
      <c r="B66" s="98">
        <v>16</v>
      </c>
      <c r="C66" s="99">
        <v>54</v>
      </c>
      <c r="D66" s="100">
        <f>E22</f>
        <v>81.678785529420367</v>
      </c>
      <c r="E66" s="103">
        <f>E23</f>
        <v>5.541442906027097E-2</v>
      </c>
      <c r="F66" s="104">
        <f>E24</f>
        <v>0.93524101706757756</v>
      </c>
      <c r="G66" s="100">
        <f>E25</f>
        <v>86.819960141335102</v>
      </c>
      <c r="H66" s="100">
        <f>E26</f>
        <v>5.1411746119147352</v>
      </c>
      <c r="I66" s="97">
        <f>E27</f>
        <v>4.9889055689778014E-2</v>
      </c>
    </row>
    <row r="67" spans="1:9">
      <c r="A67" s="65">
        <v>26</v>
      </c>
      <c r="B67" s="98">
        <v>16</v>
      </c>
      <c r="C67" s="101">
        <v>55</v>
      </c>
      <c r="D67" s="105">
        <f>F22</f>
        <v>96.75396368292995</v>
      </c>
      <c r="E67" s="106">
        <f>F23</f>
        <v>5.541442906027097E-2</v>
      </c>
      <c r="F67" s="107">
        <f>F24</f>
        <v>0.93524101706757756</v>
      </c>
      <c r="G67" s="100">
        <f>F25</f>
        <v>96.286109731036774</v>
      </c>
      <c r="H67" s="100">
        <f>F26</f>
        <v>-0.48355016588919669</v>
      </c>
      <c r="I67" s="97">
        <f>F27</f>
        <v>0.33054408626154741</v>
      </c>
    </row>
    <row r="68" spans="1:9">
      <c r="A68" s="65">
        <v>26</v>
      </c>
      <c r="B68" s="98">
        <v>16</v>
      </c>
      <c r="C68" s="101">
        <v>56</v>
      </c>
      <c r="D68" s="108">
        <f>G22</f>
        <v>22.953184742983815</v>
      </c>
      <c r="E68" s="100">
        <f>G23</f>
        <v>0.82141226056662819</v>
      </c>
      <c r="F68" s="97">
        <f>G24</f>
        <v>0.44356409011189124</v>
      </c>
      <c r="G68" s="100">
        <f>G25</f>
        <v>24.287851680307639</v>
      </c>
      <c r="H68" s="100">
        <f>G23</f>
        <v>0.82141226056662819</v>
      </c>
      <c r="I68" s="97">
        <f>G24</f>
        <v>0.44356409011189124</v>
      </c>
    </row>
    <row r="69" spans="1:9">
      <c r="A69" s="65">
        <v>26</v>
      </c>
      <c r="B69" s="98">
        <v>17</v>
      </c>
      <c r="C69" s="99">
        <v>51</v>
      </c>
      <c r="D69" s="100">
        <f>C28</f>
        <v>7.6749018327202583</v>
      </c>
      <c r="E69" s="103">
        <f>C29</f>
        <v>0.69913049673739469</v>
      </c>
      <c r="F69" s="104">
        <f>C30</f>
        <v>1.4826665657374524E-2</v>
      </c>
      <c r="G69" s="100">
        <f>C31</f>
        <v>8.5151822882758132</v>
      </c>
      <c r="H69" s="100">
        <f>C32</f>
        <v>0.84028045555555586</v>
      </c>
      <c r="I69" s="97">
        <f>C33</f>
        <v>4.3407718369948998E-3</v>
      </c>
    </row>
    <row r="70" spans="1:9">
      <c r="A70" s="65">
        <v>26</v>
      </c>
      <c r="B70" s="98">
        <v>17</v>
      </c>
      <c r="C70" s="99">
        <v>52</v>
      </c>
      <c r="D70" s="100">
        <f>D28</f>
        <v>128.76166666666668</v>
      </c>
      <c r="E70" s="103">
        <f>D29</f>
        <v>-8.1015943641083457E-2</v>
      </c>
      <c r="F70" s="104">
        <f>D30</f>
        <v>0.99124566722954099</v>
      </c>
      <c r="G70" s="100">
        <f>D31</f>
        <v>136.19512074868038</v>
      </c>
      <c r="H70" s="100">
        <f>D32</f>
        <v>5.7730334457825334</v>
      </c>
      <c r="I70" s="97">
        <f>D33</f>
        <v>0.43806238274323628</v>
      </c>
    </row>
    <row r="71" spans="1:9">
      <c r="A71" s="65">
        <v>26</v>
      </c>
      <c r="B71" s="98">
        <v>17</v>
      </c>
      <c r="C71" s="99">
        <v>54</v>
      </c>
      <c r="D71" s="100">
        <f>E28</f>
        <v>97.787350354275262</v>
      </c>
      <c r="E71" s="103">
        <f>E29</f>
        <v>-0.30626749303687023</v>
      </c>
      <c r="F71" s="104">
        <f>E30</f>
        <v>0.49440618969984307</v>
      </c>
      <c r="G71" s="100">
        <f>E31</f>
        <v>96.251254214566885</v>
      </c>
      <c r="H71" s="100">
        <f>E32</f>
        <v>-1.536096139708377</v>
      </c>
      <c r="I71" s="97">
        <f>E33</f>
        <v>9.4514786306422183E-2</v>
      </c>
    </row>
    <row r="72" spans="1:9">
      <c r="A72" s="65">
        <v>26</v>
      </c>
      <c r="B72" s="98">
        <v>17</v>
      </c>
      <c r="C72" s="101">
        <v>55</v>
      </c>
      <c r="D72" s="105">
        <f>F28</f>
        <v>98.099396629956303</v>
      </c>
      <c r="E72" s="106">
        <f>F29</f>
        <v>-0.30626749303687023</v>
      </c>
      <c r="F72" s="107">
        <f>F30</f>
        <v>0.49440618969984307</v>
      </c>
      <c r="G72" s="100">
        <f>F31</f>
        <v>97.124771604543213</v>
      </c>
      <c r="H72" s="100">
        <f>F32</f>
        <v>-0.99350766558688131</v>
      </c>
      <c r="I72" s="97">
        <f>F33</f>
        <v>4.9237137482047749E-2</v>
      </c>
    </row>
    <row r="73" spans="1:9">
      <c r="A73" s="65">
        <v>26</v>
      </c>
      <c r="B73" s="98">
        <v>17</v>
      </c>
      <c r="C73" s="101">
        <v>56</v>
      </c>
      <c r="D73" s="108">
        <f>G28</f>
        <v>34.534076474844063</v>
      </c>
      <c r="E73" s="100">
        <f>G29</f>
        <v>0.28145176810949646</v>
      </c>
      <c r="F73" s="97">
        <f>G30</f>
        <v>0.45887147855610932</v>
      </c>
      <c r="G73" s="100">
        <f>G31</f>
        <v>33.646089819918835</v>
      </c>
      <c r="H73" s="100">
        <f>G32</f>
        <v>-0.88798665492522844</v>
      </c>
      <c r="I73" s="97">
        <f>G33</f>
        <v>1.7591587674579332E-2</v>
      </c>
    </row>
    <row r="74" spans="1:9">
      <c r="A74" s="65">
        <v>26</v>
      </c>
      <c r="B74" s="98">
        <v>18</v>
      </c>
      <c r="C74" s="99">
        <v>51</v>
      </c>
      <c r="D74" s="100">
        <f>C34</f>
        <v>17.958129632066797</v>
      </c>
      <c r="E74" s="103">
        <f>C35</f>
        <v>0.44660611090296776</v>
      </c>
      <c r="F74" s="104">
        <f>C36</f>
        <v>0.268299920300133</v>
      </c>
      <c r="G74" s="100">
        <f>C37</f>
        <v>19.028782732066794</v>
      </c>
      <c r="H74" s="100">
        <f>C38</f>
        <v>1.0706530999999977</v>
      </c>
      <c r="I74" s="97">
        <f>C39</f>
        <v>8.3698039386209374E-4</v>
      </c>
    </row>
    <row r="75" spans="1:9">
      <c r="A75" s="65">
        <v>26</v>
      </c>
      <c r="B75" s="98">
        <v>18</v>
      </c>
      <c r="C75" s="99">
        <v>52</v>
      </c>
      <c r="D75" s="100">
        <f>D34</f>
        <v>68.751666666666637</v>
      </c>
      <c r="E75" s="103">
        <f>D35</f>
        <v>-13.373044123099771</v>
      </c>
      <c r="F75" s="104">
        <f>D36</f>
        <v>3.832187035947561E-2</v>
      </c>
      <c r="G75" s="100">
        <f>D37</f>
        <v>67.358981355166392</v>
      </c>
      <c r="H75" s="100">
        <f>D38</f>
        <v>-2.0256749821826112</v>
      </c>
      <c r="I75" s="97">
        <f>D39</f>
        <v>0.78061997655867588</v>
      </c>
    </row>
    <row r="76" spans="1:9">
      <c r="A76" s="65">
        <v>26</v>
      </c>
      <c r="B76" s="98">
        <v>18</v>
      </c>
      <c r="C76" s="99">
        <v>54</v>
      </c>
      <c r="D76" s="100">
        <f>E34</f>
        <v>92.648621316214474</v>
      </c>
      <c r="E76" s="103">
        <f>E35</f>
        <v>5.3023814142421735</v>
      </c>
      <c r="F76" s="104">
        <f>E36</f>
        <v>5.2092408347826448E-2</v>
      </c>
      <c r="G76" s="100">
        <f>E37</f>
        <v>92.111650318771467</v>
      </c>
      <c r="H76" s="100">
        <f>E38</f>
        <v>-0.53697099744300658</v>
      </c>
      <c r="I76" s="97">
        <f>E39</f>
        <v>0.43215394319166978</v>
      </c>
    </row>
    <row r="77" spans="1:9">
      <c r="A77" s="65">
        <v>26</v>
      </c>
      <c r="B77" s="98">
        <v>18</v>
      </c>
      <c r="C77" s="101">
        <v>55</v>
      </c>
      <c r="D77" s="105">
        <f>F34</f>
        <v>83.977668437115881</v>
      </c>
      <c r="E77" s="106">
        <f>F35</f>
        <v>5.3023814142421735</v>
      </c>
      <c r="F77" s="107">
        <f>F36</f>
        <v>5.2092408347826448E-2</v>
      </c>
      <c r="G77" s="100">
        <f>F37</f>
        <v>85.275858996425654</v>
      </c>
      <c r="H77" s="100">
        <f>F38</f>
        <v>1.5458759256716896</v>
      </c>
      <c r="I77" s="97">
        <f>F39</f>
        <v>0.76616002243896864</v>
      </c>
    </row>
    <row r="78" spans="1:9">
      <c r="A78" s="65">
        <v>26</v>
      </c>
      <c r="B78" s="98">
        <v>18</v>
      </c>
      <c r="C78" s="101">
        <v>56</v>
      </c>
      <c r="D78" s="108">
        <f>G34</f>
        <v>6.9687959755461062</v>
      </c>
      <c r="E78" s="100">
        <f>G35</f>
        <v>0.30273309633464462</v>
      </c>
      <c r="F78" s="97">
        <f>G36</f>
        <v>0.22909459251754993</v>
      </c>
      <c r="G78" s="100">
        <f>G37</f>
        <v>7.0226533189537257</v>
      </c>
      <c r="H78" s="100">
        <f>G38</f>
        <v>5.3857343407619496E-2</v>
      </c>
      <c r="I78" s="97">
        <f>G39</f>
        <v>0.86666199590748261</v>
      </c>
    </row>
    <row r="79" spans="1:9">
      <c r="A79" s="65">
        <v>26</v>
      </c>
      <c r="B79" s="98">
        <v>19</v>
      </c>
      <c r="C79" s="99">
        <v>51</v>
      </c>
      <c r="D79" s="100">
        <f>C40</f>
        <v>19.771114696810326</v>
      </c>
      <c r="E79" s="103">
        <f>C41</f>
        <v>1.0616032168600251</v>
      </c>
      <c r="F79" s="104">
        <f>C42</f>
        <v>3.1059585160299707E-3</v>
      </c>
      <c r="G79" s="100">
        <f>C43</f>
        <v>20.387726596810332</v>
      </c>
      <c r="H79" s="100">
        <f>C44</f>
        <v>0.61661190000000587</v>
      </c>
      <c r="I79" s="97">
        <f>C45</f>
        <v>7.254862662633374E-2</v>
      </c>
    </row>
    <row r="80" spans="1:9">
      <c r="A80" s="65">
        <v>26</v>
      </c>
      <c r="B80" s="98">
        <v>19</v>
      </c>
      <c r="C80" s="99">
        <v>52</v>
      </c>
      <c r="D80" s="100">
        <f>D40</f>
        <v>79.677222222222184</v>
      </c>
      <c r="E80" s="100">
        <f>D41</f>
        <v>2.3823136818687147</v>
      </c>
      <c r="F80" s="104">
        <f>D42</f>
        <v>0.77550991123506674</v>
      </c>
      <c r="G80" s="100">
        <f>D43</f>
        <v>77.834738956777315</v>
      </c>
      <c r="H80" s="100">
        <f>D44</f>
        <v>-2.3124341111015676</v>
      </c>
      <c r="I80" s="97">
        <f>D45</f>
        <v>0.80678056974574541</v>
      </c>
    </row>
    <row r="81" spans="1:9">
      <c r="A81" s="65">
        <v>26</v>
      </c>
      <c r="B81" s="98">
        <v>19</v>
      </c>
      <c r="C81" s="99">
        <v>54</v>
      </c>
      <c r="D81" s="100">
        <f>E40</f>
        <v>92.067108545447724</v>
      </c>
      <c r="E81" s="103">
        <f>E41</f>
        <v>-1.1884742660310124</v>
      </c>
      <c r="F81" s="104">
        <f>E42</f>
        <v>0.74924825085105506</v>
      </c>
      <c r="G81" s="100">
        <f>E43</f>
        <v>95.890782703246884</v>
      </c>
      <c r="H81" s="100">
        <f>E44</f>
        <v>3.8236741577991609</v>
      </c>
      <c r="I81" s="97">
        <f>E45</f>
        <v>7.1247576996334008E-2</v>
      </c>
    </row>
    <row r="82" spans="1:9">
      <c r="A82" s="65">
        <v>26</v>
      </c>
      <c r="B82" s="98">
        <v>19</v>
      </c>
      <c r="C82" s="101">
        <v>55</v>
      </c>
      <c r="D82" s="105">
        <f>F40</f>
        <v>74.264852193046281</v>
      </c>
      <c r="E82" s="106">
        <f>F41</f>
        <v>-1.1884742660310124</v>
      </c>
      <c r="F82" s="107">
        <f>F42</f>
        <v>0.74924825085105506</v>
      </c>
      <c r="G82" s="100">
        <f>F43</f>
        <v>75.680064165958001</v>
      </c>
      <c r="H82" s="100">
        <f>F44</f>
        <v>1.9056282092004582</v>
      </c>
      <c r="I82" s="97">
        <f>F45</f>
        <v>0.75474126963703503</v>
      </c>
    </row>
    <row r="83" spans="1:9">
      <c r="A83" s="65">
        <v>26</v>
      </c>
      <c r="B83" s="98">
        <v>19</v>
      </c>
      <c r="C83" s="101">
        <v>56</v>
      </c>
      <c r="D83" s="108">
        <f>G40</f>
        <v>4.7996420300702685</v>
      </c>
      <c r="E83" s="106">
        <f>G41</f>
        <v>0.30273309633464462</v>
      </c>
      <c r="F83" s="109">
        <f>G42</f>
        <v>0.22909459251754993</v>
      </c>
      <c r="G83" s="100">
        <f>G43</f>
        <v>5.0581296801225335</v>
      </c>
      <c r="H83" s="100">
        <f>G44</f>
        <v>0.25848765005226504</v>
      </c>
      <c r="I83" s="97">
        <f>G45</f>
        <v>0.40435015526802043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0"/>
  <dimension ref="A1:O83"/>
  <sheetViews>
    <sheetView topLeftCell="A28"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1" width="9.28515625" style="27" bestFit="1" customWidth="1"/>
    <col min="12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18.428333332384788</v>
      </c>
      <c r="D4" s="31">
        <v>164.58250000000001</v>
      </c>
      <c r="E4" s="30">
        <v>97.465383276870725</v>
      </c>
      <c r="F4" s="30">
        <v>97.553017455391284</v>
      </c>
      <c r="G4" s="130">
        <v>6.6550655427506875</v>
      </c>
    </row>
    <row r="5" spans="1:8" ht="18.75">
      <c r="A5" s="178"/>
      <c r="B5" s="21" t="s">
        <v>17</v>
      </c>
      <c r="C5" s="131">
        <v>0.88875452823790801</v>
      </c>
      <c r="D5" s="33">
        <v>5.725862068965518</v>
      </c>
      <c r="E5" s="34">
        <v>-0.87742188711477853</v>
      </c>
      <c r="F5" s="34">
        <v>-0.87742188711477853</v>
      </c>
      <c r="G5" s="132">
        <v>-0.18696406922444564</v>
      </c>
    </row>
    <row r="6" spans="1:8">
      <c r="A6" s="178"/>
      <c r="B6" s="22" t="s">
        <v>18</v>
      </c>
      <c r="C6" s="133">
        <v>3.5915707375656725E-5</v>
      </c>
      <c r="D6" s="37">
        <v>0.53781290753530619</v>
      </c>
      <c r="E6" s="37">
        <v>6.7095549505277102E-2</v>
      </c>
      <c r="F6" s="37">
        <v>6.7095549505277102E-2</v>
      </c>
      <c r="G6" s="134">
        <v>3.9866808742331812E-4</v>
      </c>
    </row>
    <row r="7" spans="1:8" ht="18.75">
      <c r="A7" s="178"/>
      <c r="B7" s="23" t="s">
        <v>19</v>
      </c>
      <c r="C7" s="78">
        <v>19.320461849051451</v>
      </c>
      <c r="D7" s="38">
        <v>163.06814631587031</v>
      </c>
      <c r="E7" s="148">
        <v>100.26483939482688</v>
      </c>
      <c r="F7" s="10">
        <v>97.842208793418564</v>
      </c>
      <c r="G7" s="113">
        <v>6.8458256817315331</v>
      </c>
    </row>
    <row r="8" spans="1:8" ht="18.75">
      <c r="A8" s="178"/>
      <c r="B8" s="21" t="s">
        <v>20</v>
      </c>
      <c r="C8" s="135">
        <v>0.89212851666666282</v>
      </c>
      <c r="D8" s="40">
        <v>-0.92011828969040621</v>
      </c>
      <c r="E8" s="136">
        <v>2.7994561179561543</v>
      </c>
      <c r="F8" s="10">
        <v>0.29644530284213527</v>
      </c>
      <c r="G8" s="137">
        <v>0.19076013898084554</v>
      </c>
    </row>
    <row r="9" spans="1:8" ht="16.5" thickBot="1">
      <c r="A9" s="179"/>
      <c r="B9" s="25" t="s">
        <v>21</v>
      </c>
      <c r="C9" s="146">
        <v>1.6640479508543879E-3</v>
      </c>
      <c r="D9" s="139">
        <v>0.91352381319976361</v>
      </c>
      <c r="E9" s="147">
        <v>1.6257339631517511E-2</v>
      </c>
      <c r="F9" s="47">
        <v>0.88926328563002477</v>
      </c>
      <c r="G9" s="141">
        <v>0.23457896612093077</v>
      </c>
    </row>
    <row r="10" spans="1:8" ht="18.75">
      <c r="A10" s="180" t="s">
        <v>2</v>
      </c>
      <c r="B10" s="20" t="s">
        <v>16</v>
      </c>
      <c r="C10" s="129">
        <v>10.740158152134562</v>
      </c>
      <c r="D10" s="31">
        <v>99.944999999999993</v>
      </c>
      <c r="E10" s="30">
        <v>94.231824330344594</v>
      </c>
      <c r="F10" s="30">
        <v>89.785650281029646</v>
      </c>
      <c r="G10" s="130">
        <v>5.9166292402484641</v>
      </c>
    </row>
    <row r="11" spans="1:8" ht="18.75">
      <c r="A11" s="178"/>
      <c r="B11" s="21" t="s">
        <v>17</v>
      </c>
      <c r="C11" s="131">
        <v>-2.9300928880352208E-2</v>
      </c>
      <c r="D11" s="33">
        <v>14.479755283648501</v>
      </c>
      <c r="E11" s="34">
        <v>2.7554885107023224</v>
      </c>
      <c r="F11" s="34">
        <v>2.7554885107023224</v>
      </c>
      <c r="G11" s="132">
        <v>0.16573932584862333</v>
      </c>
    </row>
    <row r="12" spans="1:8">
      <c r="A12" s="178"/>
      <c r="B12" s="22" t="s">
        <v>18</v>
      </c>
      <c r="C12" s="133">
        <v>0.89093737567392095</v>
      </c>
      <c r="D12" s="37">
        <v>9.8818174021085989E-2</v>
      </c>
      <c r="E12" s="37">
        <v>0.1780134192381746</v>
      </c>
      <c r="F12" s="37">
        <v>0.1780134192381746</v>
      </c>
      <c r="G12" s="134">
        <v>0.22450932668410895</v>
      </c>
    </row>
    <row r="13" spans="1:8" ht="18.75">
      <c r="A13" s="178"/>
      <c r="B13" s="23" t="s">
        <v>19</v>
      </c>
      <c r="C13" s="78">
        <v>12.190085685467894</v>
      </c>
      <c r="D13" s="38">
        <v>98.400999887413704</v>
      </c>
      <c r="E13" s="112">
        <v>99.697153464878298</v>
      </c>
      <c r="F13" s="10">
        <v>90.156843500856553</v>
      </c>
      <c r="G13" s="113">
        <v>6.2972993863948368</v>
      </c>
    </row>
    <row r="14" spans="1:8" ht="18.75">
      <c r="A14" s="178"/>
      <c r="B14" s="21" t="s">
        <v>20</v>
      </c>
      <c r="C14" s="135">
        <v>1.4499275333333319</v>
      </c>
      <c r="D14" s="10">
        <v>-1.5448497799652749</v>
      </c>
      <c r="E14" s="11">
        <v>5.4653291345337038</v>
      </c>
      <c r="F14" s="10">
        <v>0.41342154193355679</v>
      </c>
      <c r="G14" s="137">
        <v>0.38067014614637262</v>
      </c>
    </row>
    <row r="15" spans="1:8" ht="16.5" thickBot="1">
      <c r="A15" s="181"/>
      <c r="B15" s="26" t="s">
        <v>21</v>
      </c>
      <c r="C15" s="149">
        <v>1.2285945936005569E-5</v>
      </c>
      <c r="D15" s="48">
        <v>0.86140125427622927</v>
      </c>
      <c r="E15" s="121">
        <v>4.8729831705900935E-5</v>
      </c>
      <c r="F15" s="43">
        <v>0.81407888976349274</v>
      </c>
      <c r="G15" s="143">
        <v>8.6337273516397008E-3</v>
      </c>
    </row>
    <row r="16" spans="1:8" ht="18.75">
      <c r="A16" s="177" t="s">
        <v>3</v>
      </c>
      <c r="B16" s="24" t="s">
        <v>16</v>
      </c>
      <c r="C16" s="144">
        <v>2.3209444429539143</v>
      </c>
      <c r="D16" s="45">
        <v>37.22</v>
      </c>
      <c r="E16" s="44">
        <v>88.335176694867997</v>
      </c>
      <c r="F16" s="44">
        <v>70.393386410298618</v>
      </c>
      <c r="G16" s="145">
        <v>3.0883556408209016</v>
      </c>
    </row>
    <row r="17" spans="1:7" ht="18.75">
      <c r="A17" s="178"/>
      <c r="B17" s="21" t="s">
        <v>17</v>
      </c>
      <c r="C17" s="131">
        <v>1.1216499790661163</v>
      </c>
      <c r="D17" s="33">
        <v>0.57486095661846526</v>
      </c>
      <c r="E17" s="34">
        <v>3.3075314396209587</v>
      </c>
      <c r="F17" s="34">
        <v>3.3075314396209587</v>
      </c>
      <c r="G17" s="132">
        <v>0.15646408304357801</v>
      </c>
    </row>
    <row r="18" spans="1:7">
      <c r="A18" s="178"/>
      <c r="B18" s="22" t="s">
        <v>18</v>
      </c>
      <c r="C18" s="133">
        <v>3.7151070604320283E-2</v>
      </c>
      <c r="D18" s="37">
        <v>0.87052868936954952</v>
      </c>
      <c r="E18" s="37">
        <v>0.26075651799212418</v>
      </c>
      <c r="F18" s="37">
        <v>0.26075651799212418</v>
      </c>
      <c r="G18" s="134">
        <v>0.26987456855554082</v>
      </c>
    </row>
    <row r="19" spans="1:7" ht="18.75">
      <c r="A19" s="178"/>
      <c r="B19" s="23" t="s">
        <v>19</v>
      </c>
      <c r="C19" s="78">
        <v>3.3257150429539162</v>
      </c>
      <c r="D19" s="38">
        <v>37.725724651537966</v>
      </c>
      <c r="E19" s="112">
        <v>89.452552849035186</v>
      </c>
      <c r="F19" s="10">
        <v>69.839008357656098</v>
      </c>
      <c r="G19" s="113">
        <v>3.1254092381603749</v>
      </c>
    </row>
    <row r="20" spans="1:7" ht="18.75">
      <c r="A20" s="178"/>
      <c r="B20" s="21" t="s">
        <v>20</v>
      </c>
      <c r="C20" s="135">
        <v>1.0047706000000018</v>
      </c>
      <c r="D20" s="10">
        <v>1.3587443620042201</v>
      </c>
      <c r="E20" s="11">
        <v>1.1173761541671894</v>
      </c>
      <c r="F20" s="10">
        <v>-0.78754280893838324</v>
      </c>
      <c r="G20" s="137">
        <v>3.7053597339473221E-2</v>
      </c>
    </row>
    <row r="21" spans="1:7" ht="16.5" thickBot="1">
      <c r="A21" s="179"/>
      <c r="B21" s="25" t="s">
        <v>21</v>
      </c>
      <c r="C21" s="146">
        <v>3.588742463005682E-2</v>
      </c>
      <c r="D21" s="46">
        <v>0.88470745498358361</v>
      </c>
      <c r="E21" s="89">
        <v>0.48035021350110796</v>
      </c>
      <c r="F21" s="47">
        <v>0.75524791150265858</v>
      </c>
      <c r="G21" s="141">
        <v>0.77441549730547621</v>
      </c>
    </row>
    <row r="22" spans="1:7" ht="18.75">
      <c r="A22" s="180" t="s">
        <v>4</v>
      </c>
      <c r="B22" s="20" t="s">
        <v>16</v>
      </c>
      <c r="C22" s="129">
        <v>-2.6137662549199208</v>
      </c>
      <c r="D22" s="31">
        <v>103.82833333333333</v>
      </c>
      <c r="E22" s="30">
        <v>91.417707651669247</v>
      </c>
      <c r="F22" s="30">
        <v>96.289262354725821</v>
      </c>
      <c r="G22" s="130">
        <v>25.517575046232576</v>
      </c>
    </row>
    <row r="23" spans="1:7" ht="18.75">
      <c r="A23" s="178"/>
      <c r="B23" s="21" t="s">
        <v>17</v>
      </c>
      <c r="C23" s="131">
        <v>0.34153676850468517</v>
      </c>
      <c r="D23" s="33">
        <v>-2.156507230255841</v>
      </c>
      <c r="E23" s="34">
        <v>-0.1260527277370333</v>
      </c>
      <c r="F23" s="34">
        <v>-0.1260527277370333</v>
      </c>
      <c r="G23" s="132">
        <v>0.55417577797447104</v>
      </c>
    </row>
    <row r="24" spans="1:7">
      <c r="A24" s="178"/>
      <c r="B24" s="22" t="s">
        <v>18</v>
      </c>
      <c r="C24" s="133">
        <v>0.49718511857276226</v>
      </c>
      <c r="D24" s="37">
        <v>0.63367422744910806</v>
      </c>
      <c r="E24" s="37">
        <v>0.81982187125370054</v>
      </c>
      <c r="F24" s="37">
        <v>0.81982187125370054</v>
      </c>
      <c r="G24" s="134">
        <v>0.42619459056440545</v>
      </c>
    </row>
    <row r="25" spans="1:7" ht="18.75">
      <c r="A25" s="178"/>
      <c r="B25" s="23" t="s">
        <v>19</v>
      </c>
      <c r="C25" s="78">
        <v>-1.4223130438088099</v>
      </c>
      <c r="D25" s="38">
        <v>114.11894391913376</v>
      </c>
      <c r="E25" s="112">
        <v>90.352623458568274</v>
      </c>
      <c r="F25" s="10">
        <v>95.948456164988173</v>
      </c>
      <c r="G25" s="113">
        <v>25.114452972162308</v>
      </c>
    </row>
    <row r="26" spans="1:7" ht="18.75">
      <c r="A26" s="178"/>
      <c r="B26" s="21" t="s">
        <v>20</v>
      </c>
      <c r="C26" s="135">
        <v>1.1914532111111109</v>
      </c>
      <c r="D26" s="10">
        <v>9.9111776674322201</v>
      </c>
      <c r="E26" s="11">
        <v>-1.0650841931009722</v>
      </c>
      <c r="F26" s="10">
        <v>-0.35393997357891438</v>
      </c>
      <c r="G26" s="115">
        <v>-0.4031220740702679</v>
      </c>
    </row>
    <row r="27" spans="1:7" ht="16.5" thickBot="1">
      <c r="A27" s="181"/>
      <c r="B27" s="26" t="s">
        <v>21</v>
      </c>
      <c r="C27" s="149">
        <v>9.6111325297287796E-3</v>
      </c>
      <c r="D27" s="48">
        <v>0.10618425469730497</v>
      </c>
      <c r="E27" s="121">
        <v>0.49830763415373436</v>
      </c>
      <c r="F27" s="43">
        <v>0.52953568190094358</v>
      </c>
      <c r="G27" s="122">
        <v>0.39696469749779584</v>
      </c>
    </row>
    <row r="28" spans="1:7" ht="18.75">
      <c r="A28" s="177" t="s">
        <v>5</v>
      </c>
      <c r="B28" s="24" t="s">
        <v>16</v>
      </c>
      <c r="C28" s="144">
        <v>8.087475511906991</v>
      </c>
      <c r="D28" s="45">
        <v>150.17333333333332</v>
      </c>
      <c r="E28" s="44">
        <v>97.880882883563899</v>
      </c>
      <c r="F28" s="44">
        <v>98.739858828047161</v>
      </c>
      <c r="G28" s="145">
        <v>34.790651512340418</v>
      </c>
    </row>
    <row r="29" spans="1:7" ht="18.75">
      <c r="A29" s="178"/>
      <c r="B29" s="21" t="s">
        <v>17</v>
      </c>
      <c r="C29" s="131">
        <v>0.46980704003676849</v>
      </c>
      <c r="D29" s="33">
        <v>5.6491657397107895</v>
      </c>
      <c r="E29" s="34">
        <v>-0.27822152498746494</v>
      </c>
      <c r="F29" s="34">
        <v>-0.27822152498746494</v>
      </c>
      <c r="G29" s="132">
        <v>-3.0444657625166415E-2</v>
      </c>
    </row>
    <row r="30" spans="1:7">
      <c r="A30" s="178"/>
      <c r="B30" s="22" t="s">
        <v>18</v>
      </c>
      <c r="C30" s="133">
        <v>6.675680461316412E-2</v>
      </c>
      <c r="D30" s="37">
        <v>0.53373035044102468</v>
      </c>
      <c r="E30" s="49">
        <v>0.39179472029378348</v>
      </c>
      <c r="F30" s="49">
        <v>0.39179472029378348</v>
      </c>
      <c r="G30" s="134">
        <v>0.90185407740741574</v>
      </c>
    </row>
    <row r="31" spans="1:7" ht="18.75">
      <c r="A31" s="178"/>
      <c r="B31" s="23" t="s">
        <v>19</v>
      </c>
      <c r="C31" s="78">
        <v>8.7642730007958818</v>
      </c>
      <c r="D31" s="38">
        <v>148.77540815584564</v>
      </c>
      <c r="E31" s="112">
        <v>94.851117571013305</v>
      </c>
      <c r="F31" s="10">
        <v>98.233063672527607</v>
      </c>
      <c r="G31" s="113">
        <v>33.536665008587164</v>
      </c>
    </row>
    <row r="32" spans="1:7" ht="18.75">
      <c r="A32" s="178"/>
      <c r="B32" s="21" t="s">
        <v>20</v>
      </c>
      <c r="C32" s="135">
        <v>0.6767974888888908</v>
      </c>
      <c r="D32" s="10">
        <v>-0.93087444119306861</v>
      </c>
      <c r="E32" s="11">
        <v>-3.0297653125505946</v>
      </c>
      <c r="F32" s="10">
        <v>-0.51326299382514262</v>
      </c>
      <c r="G32" s="115">
        <v>-1.2539865037532536</v>
      </c>
    </row>
    <row r="33" spans="1:15" ht="16.5" thickBot="1">
      <c r="A33" s="179"/>
      <c r="B33" s="25" t="s">
        <v>21</v>
      </c>
      <c r="C33" s="146">
        <v>5.2791403824986134E-3</v>
      </c>
      <c r="D33" s="46">
        <v>0.88157821100942502</v>
      </c>
      <c r="E33" s="117">
        <v>1.0872294750253314E-2</v>
      </c>
      <c r="F33" s="47">
        <v>0.57422768623219667</v>
      </c>
      <c r="G33" s="118">
        <v>9.5157136029937282E-3</v>
      </c>
    </row>
    <row r="34" spans="1:15" ht="18.75">
      <c r="A34" s="177" t="s">
        <v>6</v>
      </c>
      <c r="B34" s="24" t="s">
        <v>16</v>
      </c>
      <c r="C34" s="129">
        <v>16.880194443066916</v>
      </c>
      <c r="D34" s="31">
        <v>85.55416666666666</v>
      </c>
      <c r="E34" s="30">
        <v>98.157669832862339</v>
      </c>
      <c r="F34" s="30">
        <v>76.79715674476752</v>
      </c>
      <c r="G34" s="130">
        <v>6.7906122239516709</v>
      </c>
    </row>
    <row r="35" spans="1:15" ht="18.75">
      <c r="A35" s="178"/>
      <c r="B35" s="21" t="s">
        <v>17</v>
      </c>
      <c r="C35" s="131">
        <v>0.56954208047998844</v>
      </c>
      <c r="D35" s="33">
        <v>-5.4279755283648488</v>
      </c>
      <c r="E35" s="34">
        <v>2.0670446158104365</v>
      </c>
      <c r="F35" s="34">
        <v>2.0670446158104365</v>
      </c>
      <c r="G35" s="132">
        <v>0.17689261031955122</v>
      </c>
    </row>
    <row r="36" spans="1:15">
      <c r="A36" s="178"/>
      <c r="B36" s="22" t="s">
        <v>18</v>
      </c>
      <c r="C36" s="133">
        <v>1.7713980504530526E-2</v>
      </c>
      <c r="D36" s="37">
        <v>0.4811100856938092</v>
      </c>
      <c r="E36" s="37">
        <v>0.56970859693478015</v>
      </c>
      <c r="F36" s="37">
        <v>0.56970859693478015</v>
      </c>
      <c r="G36" s="134">
        <v>0.59119734331632079</v>
      </c>
    </row>
    <row r="37" spans="1:15" ht="18.75">
      <c r="A37" s="178"/>
      <c r="B37" s="23" t="s">
        <v>19</v>
      </c>
      <c r="C37" s="78">
        <v>17.903247576400254</v>
      </c>
      <c r="D37" s="38">
        <v>90.015504509142659</v>
      </c>
      <c r="E37" s="112">
        <v>98.886760330975306</v>
      </c>
      <c r="F37" s="10">
        <v>73.561823027003314</v>
      </c>
      <c r="G37" s="113">
        <v>6.5829263493983872</v>
      </c>
    </row>
    <row r="38" spans="1:15" ht="18.75">
      <c r="A38" s="178"/>
      <c r="B38" s="21" t="s">
        <v>20</v>
      </c>
      <c r="C38" s="135">
        <v>1.0230531333333364</v>
      </c>
      <c r="D38" s="10">
        <v>5.2146353781436696</v>
      </c>
      <c r="E38" s="11">
        <v>0.72909049811296711</v>
      </c>
      <c r="F38" s="10">
        <v>-4.2128300771820442</v>
      </c>
      <c r="G38" s="115">
        <v>-0.20768587455328369</v>
      </c>
    </row>
    <row r="39" spans="1:15" ht="16.5" thickBot="1">
      <c r="A39" s="179"/>
      <c r="B39" s="25" t="s">
        <v>21</v>
      </c>
      <c r="C39" s="149">
        <v>1.2167216347859983E-3</v>
      </c>
      <c r="D39" s="48">
        <v>0.47634481395518102</v>
      </c>
      <c r="E39" s="121">
        <v>0.22050820652209147</v>
      </c>
      <c r="F39" s="43">
        <v>0.43143626060055285</v>
      </c>
      <c r="G39" s="122">
        <v>0.53131676187686927</v>
      </c>
    </row>
    <row r="40" spans="1:15" ht="18.75">
      <c r="A40" s="180" t="s">
        <v>7</v>
      </c>
      <c r="B40" s="20" t="s">
        <v>16</v>
      </c>
      <c r="C40" s="144">
        <v>18.758360213310489</v>
      </c>
      <c r="D40" s="45">
        <v>92.50833333333334</v>
      </c>
      <c r="E40" s="44">
        <v>88.538842879125539</v>
      </c>
      <c r="F40" s="44">
        <v>68.323553869754505</v>
      </c>
      <c r="G40" s="145">
        <v>4.2720963747036347</v>
      </c>
    </row>
    <row r="41" spans="1:15" ht="18.75">
      <c r="A41" s="178"/>
      <c r="B41" s="21" t="s">
        <v>17</v>
      </c>
      <c r="C41" s="131">
        <v>1.033461908277967</v>
      </c>
      <c r="D41" s="33">
        <v>3.6312569521690783</v>
      </c>
      <c r="E41" s="34">
        <v>-1.9865720583664555</v>
      </c>
      <c r="F41" s="34">
        <v>-1.9865720583664555</v>
      </c>
      <c r="G41" s="132">
        <v>0.16756922338755195</v>
      </c>
    </row>
    <row r="42" spans="1:15">
      <c r="A42" s="178"/>
      <c r="B42" s="22" t="s">
        <v>18</v>
      </c>
      <c r="C42" s="133">
        <v>3.4415852145249854E-4</v>
      </c>
      <c r="D42" s="37">
        <v>0.69851530728679667</v>
      </c>
      <c r="E42" s="49">
        <v>0.64719932135037139</v>
      </c>
      <c r="F42" s="49">
        <v>0.64719932135037139</v>
      </c>
      <c r="G42" s="134">
        <v>0.58498002438691432</v>
      </c>
    </row>
    <row r="43" spans="1:15" ht="18.75">
      <c r="A43" s="178"/>
      <c r="B43" s="23" t="s">
        <v>19</v>
      </c>
      <c r="C43" s="78">
        <v>19.306522746643815</v>
      </c>
      <c r="D43" s="38">
        <v>102.34596445369904</v>
      </c>
      <c r="E43" s="112">
        <v>92.573637415832749</v>
      </c>
      <c r="F43" s="10">
        <v>62.325726562103839</v>
      </c>
      <c r="G43" s="113">
        <v>4.1085727695995917</v>
      </c>
    </row>
    <row r="44" spans="1:15" ht="18.75">
      <c r="A44" s="178"/>
      <c r="B44" s="21" t="s">
        <v>20</v>
      </c>
      <c r="C44" s="135">
        <v>0.54816253333332554</v>
      </c>
      <c r="D44" s="10">
        <v>10.634318840139478</v>
      </c>
      <c r="E44" s="11">
        <v>4.03479453670721</v>
      </c>
      <c r="F44" s="10">
        <v>-8.7785645914794692</v>
      </c>
      <c r="G44" s="137">
        <v>-0.1635236051040434</v>
      </c>
    </row>
    <row r="45" spans="1:15" ht="16.5" thickBot="1">
      <c r="A45" s="179"/>
      <c r="B45" s="25" t="s">
        <v>21</v>
      </c>
      <c r="C45" s="149">
        <v>9.9039961142504351E-2</v>
      </c>
      <c r="D45" s="48">
        <v>0.33814926360436282</v>
      </c>
      <c r="E45" s="121">
        <v>8.5773192703688231E-2</v>
      </c>
      <c r="F45" s="43">
        <v>0.31990344717467989</v>
      </c>
      <c r="G45" s="143">
        <v>0.64880838542302355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18.428333332384788</v>
      </c>
      <c r="E49" s="100">
        <f>C5</f>
        <v>0.88875452823790801</v>
      </c>
      <c r="F49" s="97">
        <f>C6</f>
        <v>3.5915707375656725E-5</v>
      </c>
      <c r="G49" s="100">
        <f>C7</f>
        <v>19.320461849051451</v>
      </c>
      <c r="H49" s="100">
        <f>C8</f>
        <v>0.89212851666666282</v>
      </c>
      <c r="I49" s="97">
        <f>C9</f>
        <v>1.6640479508543879E-3</v>
      </c>
    </row>
    <row r="50" spans="1:9">
      <c r="A50" s="65">
        <v>26</v>
      </c>
      <c r="B50" s="98">
        <v>13</v>
      </c>
      <c r="C50" s="99">
        <v>52</v>
      </c>
      <c r="D50" s="100">
        <f>D4</f>
        <v>164.58250000000001</v>
      </c>
      <c r="E50" s="100">
        <f>D5</f>
        <v>5.725862068965518</v>
      </c>
      <c r="F50" s="97">
        <f>D6</f>
        <v>0.53781290753530619</v>
      </c>
      <c r="G50" s="100">
        <f>D7</f>
        <v>163.06814631587031</v>
      </c>
      <c r="H50" s="100">
        <f>D8</f>
        <v>-0.92011828969040621</v>
      </c>
      <c r="I50" s="97">
        <f>D9</f>
        <v>0.91352381319976361</v>
      </c>
    </row>
    <row r="51" spans="1:9">
      <c r="A51" s="65">
        <v>26</v>
      </c>
      <c r="B51" s="98">
        <v>13</v>
      </c>
      <c r="C51" s="99">
        <v>54</v>
      </c>
      <c r="D51" s="100">
        <f>E4</f>
        <v>97.465383276870725</v>
      </c>
      <c r="E51" s="100">
        <f>E5</f>
        <v>-0.87742188711477853</v>
      </c>
      <c r="F51" s="97">
        <f>E6</f>
        <v>6.7095549505277102E-2</v>
      </c>
      <c r="G51" s="100">
        <f>E7</f>
        <v>100.26483939482688</v>
      </c>
      <c r="H51" s="100">
        <f>E8</f>
        <v>2.7994561179561543</v>
      </c>
      <c r="I51" s="97">
        <f>E9</f>
        <v>1.6257339631517511E-2</v>
      </c>
    </row>
    <row r="52" spans="1:9">
      <c r="A52" s="65">
        <v>26</v>
      </c>
      <c r="B52" s="98">
        <v>13</v>
      </c>
      <c r="C52" s="101">
        <v>55</v>
      </c>
      <c r="D52" s="100">
        <f>F4</f>
        <v>97.553017455391284</v>
      </c>
      <c r="E52" s="100">
        <f>F5</f>
        <v>-0.87742188711477853</v>
      </c>
      <c r="F52" s="97">
        <f>F6</f>
        <v>6.7095549505277102E-2</v>
      </c>
      <c r="G52" s="100">
        <f>F7</f>
        <v>97.842208793418564</v>
      </c>
      <c r="H52" s="100">
        <f>F8</f>
        <v>0.29644530284213527</v>
      </c>
      <c r="I52" s="97">
        <f>F9</f>
        <v>0.88926328563002477</v>
      </c>
    </row>
    <row r="53" spans="1:9">
      <c r="A53" s="65">
        <v>26</v>
      </c>
      <c r="B53" s="98">
        <v>13</v>
      </c>
      <c r="C53" s="101">
        <v>56</v>
      </c>
      <c r="D53" s="100">
        <f>G4</f>
        <v>6.6550655427506875</v>
      </c>
      <c r="E53" s="100">
        <f>G5</f>
        <v>-0.18696406922444564</v>
      </c>
      <c r="F53" s="97">
        <f>G6</f>
        <v>3.9866808742331812E-4</v>
      </c>
      <c r="G53" s="100">
        <f>G7</f>
        <v>6.8458256817315331</v>
      </c>
      <c r="H53" s="100">
        <f>G8</f>
        <v>0.19076013898084554</v>
      </c>
      <c r="I53" s="97">
        <f>G9</f>
        <v>0.23457896612093077</v>
      </c>
    </row>
    <row r="54" spans="1:9">
      <c r="A54" s="65">
        <v>26</v>
      </c>
      <c r="B54" s="98">
        <v>14</v>
      </c>
      <c r="C54" s="99">
        <v>51</v>
      </c>
      <c r="D54" s="100">
        <f>C10</f>
        <v>10.740158152134562</v>
      </c>
      <c r="E54" s="100">
        <f>C11</f>
        <v>-2.9300928880352208E-2</v>
      </c>
      <c r="F54" s="97">
        <f>C12</f>
        <v>0.89093737567392095</v>
      </c>
      <c r="G54" s="100">
        <f>C13</f>
        <v>12.190085685467894</v>
      </c>
      <c r="H54" s="100">
        <f>C14</f>
        <v>1.4499275333333319</v>
      </c>
      <c r="I54" s="97">
        <f>C15</f>
        <v>1.2285945936005569E-5</v>
      </c>
    </row>
    <row r="55" spans="1:9">
      <c r="A55" s="65">
        <v>26</v>
      </c>
      <c r="B55" s="98">
        <v>14</v>
      </c>
      <c r="C55" s="99">
        <v>52</v>
      </c>
      <c r="D55" s="100">
        <f>D10</f>
        <v>99.944999999999993</v>
      </c>
      <c r="E55" s="100">
        <f>D11</f>
        <v>14.479755283648501</v>
      </c>
      <c r="F55" s="97">
        <f>D12</f>
        <v>9.8818174021085989E-2</v>
      </c>
      <c r="G55" s="100">
        <f>D13</f>
        <v>98.400999887413704</v>
      </c>
      <c r="H55" s="100">
        <f>D14</f>
        <v>-1.5448497799652749</v>
      </c>
      <c r="I55" s="97">
        <f>D15</f>
        <v>0.86140125427622927</v>
      </c>
    </row>
    <row r="56" spans="1:9">
      <c r="A56" s="65">
        <v>26</v>
      </c>
      <c r="B56" s="98">
        <v>14</v>
      </c>
      <c r="C56" s="99">
        <v>54</v>
      </c>
      <c r="D56" s="100">
        <f>E10</f>
        <v>94.231824330344594</v>
      </c>
      <c r="E56" s="100">
        <f>E11</f>
        <v>2.7554885107023224</v>
      </c>
      <c r="F56" s="97">
        <f>E12</f>
        <v>0.1780134192381746</v>
      </c>
      <c r="G56" s="100">
        <f>E13</f>
        <v>99.697153464878298</v>
      </c>
      <c r="H56" s="100">
        <f>E14</f>
        <v>5.4653291345337038</v>
      </c>
      <c r="I56" s="97">
        <f>E15</f>
        <v>4.8729831705900935E-5</v>
      </c>
    </row>
    <row r="57" spans="1:9">
      <c r="A57" s="65">
        <v>26</v>
      </c>
      <c r="B57" s="98">
        <v>14</v>
      </c>
      <c r="C57" s="101">
        <v>55</v>
      </c>
      <c r="D57" s="100">
        <f>F10</f>
        <v>89.785650281029646</v>
      </c>
      <c r="E57" s="100">
        <f>F11</f>
        <v>2.7554885107023224</v>
      </c>
      <c r="F57" s="97">
        <f>F12</f>
        <v>0.1780134192381746</v>
      </c>
      <c r="G57" s="100">
        <f>F13</f>
        <v>90.156843500856553</v>
      </c>
      <c r="H57" s="100">
        <f>F14</f>
        <v>0.41342154193355679</v>
      </c>
      <c r="I57" s="97">
        <f>F15</f>
        <v>0.81407888976349274</v>
      </c>
    </row>
    <row r="58" spans="1:9">
      <c r="A58" s="65">
        <v>26</v>
      </c>
      <c r="B58" s="98">
        <v>14</v>
      </c>
      <c r="C58" s="101">
        <v>56</v>
      </c>
      <c r="D58" s="100">
        <f>G10</f>
        <v>5.9166292402484641</v>
      </c>
      <c r="E58" s="100">
        <f>G11</f>
        <v>0.16573932584862333</v>
      </c>
      <c r="F58" s="97">
        <f>G12</f>
        <v>0.22450932668410895</v>
      </c>
      <c r="G58" s="100">
        <f>G13</f>
        <v>6.2972993863948368</v>
      </c>
      <c r="H58" s="100">
        <f>G14</f>
        <v>0.38067014614637262</v>
      </c>
      <c r="I58" s="97">
        <f>G15</f>
        <v>8.6337273516397008E-3</v>
      </c>
    </row>
    <row r="59" spans="1:9">
      <c r="A59" s="65">
        <v>26</v>
      </c>
      <c r="B59" s="98">
        <v>15</v>
      </c>
      <c r="C59" s="99">
        <v>51</v>
      </c>
      <c r="D59" s="100">
        <f>C16</f>
        <v>2.3209444429539143</v>
      </c>
      <c r="E59" s="100">
        <f>C17</f>
        <v>1.1216499790661163</v>
      </c>
      <c r="F59" s="97">
        <f>C18</f>
        <v>3.7151070604320283E-2</v>
      </c>
      <c r="G59" s="100">
        <f>C19</f>
        <v>3.3257150429539162</v>
      </c>
      <c r="H59" s="100">
        <f>C20</f>
        <v>1.0047706000000018</v>
      </c>
      <c r="I59" s="97">
        <f>C21</f>
        <v>3.588742463005682E-2</v>
      </c>
    </row>
    <row r="60" spans="1:9">
      <c r="A60" s="65">
        <v>26</v>
      </c>
      <c r="B60" s="98">
        <v>15</v>
      </c>
      <c r="C60" s="99">
        <v>52</v>
      </c>
      <c r="D60" s="100">
        <f>D16</f>
        <v>37.22</v>
      </c>
      <c r="E60" s="100">
        <f>D17</f>
        <v>0.57486095661846526</v>
      </c>
      <c r="F60" s="97">
        <f>D18</f>
        <v>0.87052868936954952</v>
      </c>
      <c r="G60" s="100">
        <f>D19</f>
        <v>37.725724651537966</v>
      </c>
      <c r="H60" s="100">
        <f>D20</f>
        <v>1.3587443620042201</v>
      </c>
      <c r="I60" s="97">
        <f>D21</f>
        <v>0.88470745498358361</v>
      </c>
    </row>
    <row r="61" spans="1:9">
      <c r="A61" s="65">
        <v>26</v>
      </c>
      <c r="B61" s="98">
        <v>15</v>
      </c>
      <c r="C61" s="99">
        <v>54</v>
      </c>
      <c r="D61" s="100">
        <f>E16</f>
        <v>88.335176694867997</v>
      </c>
      <c r="E61" s="100">
        <f>E17</f>
        <v>3.3075314396209587</v>
      </c>
      <c r="F61" s="97">
        <f>E18</f>
        <v>0.26075651799212418</v>
      </c>
      <c r="G61" s="100">
        <f>E19</f>
        <v>89.452552849035186</v>
      </c>
      <c r="H61" s="100">
        <f>E20</f>
        <v>1.1173761541671894</v>
      </c>
      <c r="I61" s="97">
        <f>E21</f>
        <v>0.48035021350110796</v>
      </c>
    </row>
    <row r="62" spans="1:9">
      <c r="A62" s="65">
        <v>26</v>
      </c>
      <c r="B62" s="98">
        <v>15</v>
      </c>
      <c r="C62" s="101">
        <v>55</v>
      </c>
      <c r="D62" s="102">
        <f>F16</f>
        <v>70.393386410298618</v>
      </c>
      <c r="E62" s="100">
        <f>F17</f>
        <v>3.3075314396209587</v>
      </c>
      <c r="F62" s="97">
        <f>F18</f>
        <v>0.26075651799212418</v>
      </c>
      <c r="G62" s="100">
        <f>F19</f>
        <v>69.839008357656098</v>
      </c>
      <c r="H62" s="100">
        <f>F20</f>
        <v>-0.78754280893838324</v>
      </c>
      <c r="I62" s="97">
        <f>F21</f>
        <v>0.75524791150265858</v>
      </c>
    </row>
    <row r="63" spans="1:9">
      <c r="A63" s="65">
        <v>26</v>
      </c>
      <c r="B63" s="98">
        <v>15</v>
      </c>
      <c r="C63" s="101">
        <v>56</v>
      </c>
      <c r="D63" s="102">
        <f>G16</f>
        <v>3.0883556408209016</v>
      </c>
      <c r="E63" s="100">
        <f>G17</f>
        <v>0.15646408304357801</v>
      </c>
      <c r="F63" s="97">
        <f>G18</f>
        <v>0.26987456855554082</v>
      </c>
      <c r="G63" s="100">
        <f>G19</f>
        <v>3.1254092381603749</v>
      </c>
      <c r="H63" s="100">
        <f>G20</f>
        <v>3.7053597339473221E-2</v>
      </c>
      <c r="I63" s="97">
        <f>G21</f>
        <v>0.77441549730547621</v>
      </c>
    </row>
    <row r="64" spans="1:9">
      <c r="A64" s="65">
        <v>26</v>
      </c>
      <c r="B64" s="98">
        <v>16</v>
      </c>
      <c r="C64" s="99">
        <v>51</v>
      </c>
      <c r="D64" s="100">
        <f>C22</f>
        <v>-2.6137662549199208</v>
      </c>
      <c r="E64" s="103">
        <f>C23</f>
        <v>0.34153676850468517</v>
      </c>
      <c r="F64" s="104">
        <f>C24</f>
        <v>0.49718511857276226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103.82833333333333</v>
      </c>
      <c r="E65" s="103">
        <f>D23</f>
        <v>-2.156507230255841</v>
      </c>
      <c r="F65" s="104">
        <f>D24</f>
        <v>0.63367422744910806</v>
      </c>
      <c r="G65" s="100">
        <f>D25</f>
        <v>114.11894391913376</v>
      </c>
      <c r="H65" s="100">
        <f>D26</f>
        <v>9.9111776674322201</v>
      </c>
      <c r="I65" s="97">
        <f>D27</f>
        <v>0.10618425469730497</v>
      </c>
    </row>
    <row r="66" spans="1:9">
      <c r="A66" s="65">
        <v>26</v>
      </c>
      <c r="B66" s="98">
        <v>16</v>
      </c>
      <c r="C66" s="99">
        <v>54</v>
      </c>
      <c r="D66" s="100">
        <f>E22</f>
        <v>91.417707651669247</v>
      </c>
      <c r="E66" s="103">
        <f>E23</f>
        <v>-0.1260527277370333</v>
      </c>
      <c r="F66" s="104">
        <f>E24</f>
        <v>0.81982187125370054</v>
      </c>
      <c r="G66" s="100">
        <f>E25</f>
        <v>90.352623458568274</v>
      </c>
      <c r="H66" s="100">
        <f>E26</f>
        <v>-1.0650841931009722</v>
      </c>
      <c r="I66" s="97">
        <f>E27</f>
        <v>0.49830763415373436</v>
      </c>
    </row>
    <row r="67" spans="1:9">
      <c r="A67" s="65">
        <v>26</v>
      </c>
      <c r="B67" s="98">
        <v>16</v>
      </c>
      <c r="C67" s="101">
        <v>55</v>
      </c>
      <c r="D67" s="105">
        <f>F22</f>
        <v>96.289262354725821</v>
      </c>
      <c r="E67" s="106">
        <f>F23</f>
        <v>-0.1260527277370333</v>
      </c>
      <c r="F67" s="107">
        <f>F24</f>
        <v>0.81982187125370054</v>
      </c>
      <c r="G67" s="100">
        <f>F25</f>
        <v>95.948456164988173</v>
      </c>
      <c r="H67" s="100">
        <f>F26</f>
        <v>-0.35393997357891438</v>
      </c>
      <c r="I67" s="97">
        <f>F27</f>
        <v>0.52953568190094358</v>
      </c>
    </row>
    <row r="68" spans="1:9">
      <c r="A68" s="65">
        <v>26</v>
      </c>
      <c r="B68" s="98">
        <v>16</v>
      </c>
      <c r="C68" s="101">
        <v>56</v>
      </c>
      <c r="D68" s="108">
        <f>G22</f>
        <v>25.517575046232576</v>
      </c>
      <c r="E68" s="100">
        <f>G23</f>
        <v>0.55417577797447104</v>
      </c>
      <c r="F68" s="97">
        <f>G24</f>
        <v>0.42619459056440545</v>
      </c>
      <c r="G68" s="100">
        <f>G25</f>
        <v>25.114452972162308</v>
      </c>
      <c r="H68" s="100">
        <f>G23</f>
        <v>0.55417577797447104</v>
      </c>
      <c r="I68" s="97">
        <f>G24</f>
        <v>0.42619459056440545</v>
      </c>
    </row>
    <row r="69" spans="1:9">
      <c r="A69" s="65">
        <v>26</v>
      </c>
      <c r="B69" s="98">
        <v>17</v>
      </c>
      <c r="C69" s="99">
        <v>51</v>
      </c>
      <c r="D69" s="100">
        <f>C28</f>
        <v>8.087475511906991</v>
      </c>
      <c r="E69" s="103">
        <f>C29</f>
        <v>0.46980704003676849</v>
      </c>
      <c r="F69" s="104">
        <f>C30</f>
        <v>6.675680461316412E-2</v>
      </c>
      <c r="G69" s="100">
        <f>C31</f>
        <v>8.7642730007958818</v>
      </c>
      <c r="H69" s="100">
        <f>C32</f>
        <v>0.6767974888888908</v>
      </c>
      <c r="I69" s="97">
        <f>C33</f>
        <v>5.2791403824986134E-3</v>
      </c>
    </row>
    <row r="70" spans="1:9">
      <c r="A70" s="65">
        <v>26</v>
      </c>
      <c r="B70" s="98">
        <v>17</v>
      </c>
      <c r="C70" s="99">
        <v>52</v>
      </c>
      <c r="D70" s="100">
        <f>D28</f>
        <v>150.17333333333332</v>
      </c>
      <c r="E70" s="103">
        <f>D29</f>
        <v>5.6491657397107895</v>
      </c>
      <c r="F70" s="104">
        <f>D30</f>
        <v>0.53373035044102468</v>
      </c>
      <c r="G70" s="100">
        <f>D31</f>
        <v>148.77540815584564</v>
      </c>
      <c r="H70" s="100">
        <f>D32</f>
        <v>-0.93087444119306861</v>
      </c>
      <c r="I70" s="97">
        <f>D33</f>
        <v>0.88157821100942502</v>
      </c>
    </row>
    <row r="71" spans="1:9">
      <c r="A71" s="65">
        <v>26</v>
      </c>
      <c r="B71" s="98">
        <v>17</v>
      </c>
      <c r="C71" s="99">
        <v>54</v>
      </c>
      <c r="D71" s="100">
        <f>E28</f>
        <v>97.880882883563899</v>
      </c>
      <c r="E71" s="103">
        <f>E29</f>
        <v>-0.27822152498746494</v>
      </c>
      <c r="F71" s="104">
        <f>E30</f>
        <v>0.39179472029378348</v>
      </c>
      <c r="G71" s="100">
        <f>E31</f>
        <v>94.851117571013305</v>
      </c>
      <c r="H71" s="100">
        <f>E32</f>
        <v>-3.0297653125505946</v>
      </c>
      <c r="I71" s="97">
        <f>E33</f>
        <v>1.0872294750253314E-2</v>
      </c>
    </row>
    <row r="72" spans="1:9">
      <c r="A72" s="65">
        <v>26</v>
      </c>
      <c r="B72" s="98">
        <v>17</v>
      </c>
      <c r="C72" s="101">
        <v>55</v>
      </c>
      <c r="D72" s="105">
        <f>F28</f>
        <v>98.739858828047161</v>
      </c>
      <c r="E72" s="106">
        <f>F29</f>
        <v>-0.27822152498746494</v>
      </c>
      <c r="F72" s="107">
        <f>F30</f>
        <v>0.39179472029378348</v>
      </c>
      <c r="G72" s="100">
        <f>F31</f>
        <v>98.233063672527607</v>
      </c>
      <c r="H72" s="100">
        <f>F32</f>
        <v>-0.51326299382514262</v>
      </c>
      <c r="I72" s="97">
        <f>F33</f>
        <v>0.57422768623219667</v>
      </c>
    </row>
    <row r="73" spans="1:9">
      <c r="A73" s="65">
        <v>26</v>
      </c>
      <c r="B73" s="98">
        <v>17</v>
      </c>
      <c r="C73" s="101">
        <v>56</v>
      </c>
      <c r="D73" s="108">
        <f>G28</f>
        <v>34.790651512340418</v>
      </c>
      <c r="E73" s="100">
        <f>G29</f>
        <v>-3.0444657625166415E-2</v>
      </c>
      <c r="F73" s="97">
        <f>G30</f>
        <v>0.90185407740741574</v>
      </c>
      <c r="G73" s="100">
        <f>G31</f>
        <v>33.536665008587164</v>
      </c>
      <c r="H73" s="100">
        <f>G32</f>
        <v>-1.2539865037532536</v>
      </c>
      <c r="I73" s="97">
        <f>G33</f>
        <v>9.5157136029937282E-3</v>
      </c>
    </row>
    <row r="74" spans="1:9">
      <c r="A74" s="65">
        <v>26</v>
      </c>
      <c r="B74" s="98">
        <v>18</v>
      </c>
      <c r="C74" s="99">
        <v>51</v>
      </c>
      <c r="D74" s="100">
        <f>C34</f>
        <v>16.880194443066916</v>
      </c>
      <c r="E74" s="103">
        <f>C35</f>
        <v>0.56954208047998844</v>
      </c>
      <c r="F74" s="104">
        <f>C36</f>
        <v>1.7713980504530526E-2</v>
      </c>
      <c r="G74" s="100">
        <f>C37</f>
        <v>17.903247576400254</v>
      </c>
      <c r="H74" s="100">
        <f>C38</f>
        <v>1.0230531333333364</v>
      </c>
      <c r="I74" s="97">
        <f>C39</f>
        <v>1.2167216347859983E-3</v>
      </c>
    </row>
    <row r="75" spans="1:9">
      <c r="A75" s="65">
        <v>26</v>
      </c>
      <c r="B75" s="98">
        <v>18</v>
      </c>
      <c r="C75" s="99">
        <v>52</v>
      </c>
      <c r="D75" s="100">
        <f>D34</f>
        <v>85.55416666666666</v>
      </c>
      <c r="E75" s="103">
        <f>D35</f>
        <v>-5.4279755283648488</v>
      </c>
      <c r="F75" s="104">
        <f>D36</f>
        <v>0.4811100856938092</v>
      </c>
      <c r="G75" s="100">
        <f>D37</f>
        <v>90.015504509142659</v>
      </c>
      <c r="H75" s="100">
        <f>D38</f>
        <v>5.2146353781436696</v>
      </c>
      <c r="I75" s="97">
        <f>D39</f>
        <v>0.47634481395518102</v>
      </c>
    </row>
    <row r="76" spans="1:9">
      <c r="A76" s="65">
        <v>26</v>
      </c>
      <c r="B76" s="98">
        <v>18</v>
      </c>
      <c r="C76" s="99">
        <v>54</v>
      </c>
      <c r="D76" s="100">
        <f>E34</f>
        <v>98.157669832862339</v>
      </c>
      <c r="E76" s="103">
        <f>E35</f>
        <v>2.0670446158104365</v>
      </c>
      <c r="F76" s="104">
        <f>E36</f>
        <v>0.56970859693478015</v>
      </c>
      <c r="G76" s="100">
        <f>E37</f>
        <v>98.886760330975306</v>
      </c>
      <c r="H76" s="100">
        <f>E38</f>
        <v>0.72909049811296711</v>
      </c>
      <c r="I76" s="97">
        <f>E39</f>
        <v>0.22050820652209147</v>
      </c>
    </row>
    <row r="77" spans="1:9">
      <c r="A77" s="65">
        <v>26</v>
      </c>
      <c r="B77" s="98">
        <v>18</v>
      </c>
      <c r="C77" s="101">
        <v>55</v>
      </c>
      <c r="D77" s="105">
        <f>F34</f>
        <v>76.79715674476752</v>
      </c>
      <c r="E77" s="106">
        <f>F35</f>
        <v>2.0670446158104365</v>
      </c>
      <c r="F77" s="107">
        <f>F36</f>
        <v>0.56970859693478015</v>
      </c>
      <c r="G77" s="100">
        <f>F37</f>
        <v>73.561823027003314</v>
      </c>
      <c r="H77" s="100">
        <f>F38</f>
        <v>-4.2128300771820442</v>
      </c>
      <c r="I77" s="97">
        <f>F39</f>
        <v>0.43143626060055285</v>
      </c>
    </row>
    <row r="78" spans="1:9">
      <c r="A78" s="65">
        <v>26</v>
      </c>
      <c r="B78" s="98">
        <v>18</v>
      </c>
      <c r="C78" s="101">
        <v>56</v>
      </c>
      <c r="D78" s="108">
        <f>G34</f>
        <v>6.7906122239516709</v>
      </c>
      <c r="E78" s="100">
        <f>G35</f>
        <v>0.17689261031955122</v>
      </c>
      <c r="F78" s="97">
        <f>G36</f>
        <v>0.59119734331632079</v>
      </c>
      <c r="G78" s="100">
        <f>G37</f>
        <v>6.5829263493983872</v>
      </c>
      <c r="H78" s="100">
        <f>G38</f>
        <v>-0.20768587455328369</v>
      </c>
      <c r="I78" s="97">
        <f>G39</f>
        <v>0.53131676187686927</v>
      </c>
    </row>
    <row r="79" spans="1:9">
      <c r="A79" s="65">
        <v>26</v>
      </c>
      <c r="B79" s="98">
        <v>19</v>
      </c>
      <c r="C79" s="99">
        <v>51</v>
      </c>
      <c r="D79" s="100">
        <f>C40</f>
        <v>18.758360213310489</v>
      </c>
      <c r="E79" s="103">
        <f>C41</f>
        <v>1.033461908277967</v>
      </c>
      <c r="F79" s="104">
        <f>C42</f>
        <v>3.4415852145249854E-4</v>
      </c>
      <c r="G79" s="100">
        <f>C43</f>
        <v>19.306522746643815</v>
      </c>
      <c r="H79" s="100">
        <f>C44</f>
        <v>0.54816253333332554</v>
      </c>
      <c r="I79" s="97">
        <f>C45</f>
        <v>9.9039961142504351E-2</v>
      </c>
    </row>
    <row r="80" spans="1:9">
      <c r="A80" s="65">
        <v>26</v>
      </c>
      <c r="B80" s="98">
        <v>19</v>
      </c>
      <c r="C80" s="99">
        <v>52</v>
      </c>
      <c r="D80" s="100">
        <f>D40</f>
        <v>92.50833333333334</v>
      </c>
      <c r="E80" s="100">
        <f>D41</f>
        <v>3.6312569521690783</v>
      </c>
      <c r="F80" s="104">
        <f>D42</f>
        <v>0.69851530728679667</v>
      </c>
      <c r="G80" s="100">
        <f>D43</f>
        <v>102.34596445369904</v>
      </c>
      <c r="H80" s="100">
        <f>D44</f>
        <v>10.634318840139478</v>
      </c>
      <c r="I80" s="97">
        <f>D45</f>
        <v>0.33814926360436282</v>
      </c>
    </row>
    <row r="81" spans="1:9">
      <c r="A81" s="65">
        <v>26</v>
      </c>
      <c r="B81" s="98">
        <v>19</v>
      </c>
      <c r="C81" s="99">
        <v>54</v>
      </c>
      <c r="D81" s="100">
        <f>E40</f>
        <v>88.538842879125539</v>
      </c>
      <c r="E81" s="103">
        <f>E41</f>
        <v>-1.9865720583664555</v>
      </c>
      <c r="F81" s="104">
        <f>E42</f>
        <v>0.64719932135037139</v>
      </c>
      <c r="G81" s="100">
        <f>E43</f>
        <v>92.573637415832749</v>
      </c>
      <c r="H81" s="100">
        <f>E44</f>
        <v>4.03479453670721</v>
      </c>
      <c r="I81" s="97">
        <f>E45</f>
        <v>8.5773192703688231E-2</v>
      </c>
    </row>
    <row r="82" spans="1:9">
      <c r="A82" s="65">
        <v>26</v>
      </c>
      <c r="B82" s="98">
        <v>19</v>
      </c>
      <c r="C82" s="101">
        <v>55</v>
      </c>
      <c r="D82" s="105">
        <f>F40</f>
        <v>68.323553869754505</v>
      </c>
      <c r="E82" s="106">
        <f>F41</f>
        <v>-1.9865720583664555</v>
      </c>
      <c r="F82" s="107">
        <f>F42</f>
        <v>0.64719932135037139</v>
      </c>
      <c r="G82" s="100">
        <f>F43</f>
        <v>62.325726562103839</v>
      </c>
      <c r="H82" s="100">
        <f>F44</f>
        <v>-8.7785645914794692</v>
      </c>
      <c r="I82" s="97">
        <f>F45</f>
        <v>0.31990344717467989</v>
      </c>
    </row>
    <row r="83" spans="1:9">
      <c r="A83" s="65">
        <v>26</v>
      </c>
      <c r="B83" s="98">
        <v>19</v>
      </c>
      <c r="C83" s="101">
        <v>56</v>
      </c>
      <c r="D83" s="108">
        <f>G40</f>
        <v>4.2720963747036347</v>
      </c>
      <c r="E83" s="106">
        <f>G41</f>
        <v>0.16756922338755195</v>
      </c>
      <c r="F83" s="109">
        <f>G42</f>
        <v>0.58498002438691432</v>
      </c>
      <c r="G83" s="100">
        <f>G43</f>
        <v>4.1085727695995917</v>
      </c>
      <c r="H83" s="100">
        <f>G44</f>
        <v>-0.1635236051040434</v>
      </c>
      <c r="I83" s="97">
        <f>G45</f>
        <v>0.64880838542302355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1"/>
  <dimension ref="A1:O83"/>
  <sheetViews>
    <sheetView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20.520103940324546</v>
      </c>
      <c r="D4" s="31">
        <v>105.45800000000003</v>
      </c>
      <c r="E4" s="30">
        <v>85.983914022477663</v>
      </c>
      <c r="F4" s="30">
        <v>97.67550175349011</v>
      </c>
      <c r="G4" s="130">
        <v>5.8813354978680374</v>
      </c>
    </row>
    <row r="5" spans="1:8" ht="18.75">
      <c r="A5" s="178"/>
      <c r="B5" s="21" t="s">
        <v>17</v>
      </c>
      <c r="C5" s="131">
        <v>0.98804214626614595</v>
      </c>
      <c r="D5" s="33">
        <v>-4.1311234705228097</v>
      </c>
      <c r="E5" s="34">
        <v>-0.51999899815910711</v>
      </c>
      <c r="F5" s="34">
        <v>-0.51999899815910711</v>
      </c>
      <c r="G5" s="132">
        <v>-0.65563372016102184</v>
      </c>
    </row>
    <row r="6" spans="1:8">
      <c r="A6" s="178"/>
      <c r="B6" s="22" t="s">
        <v>18</v>
      </c>
      <c r="C6" s="133">
        <v>5.5909544221877995E-4</v>
      </c>
      <c r="D6" s="37">
        <v>0.61668147827070352</v>
      </c>
      <c r="E6" s="37">
        <v>0.32247539379973411</v>
      </c>
      <c r="F6" s="37">
        <v>0.32247539379973411</v>
      </c>
      <c r="G6" s="134">
        <v>7.0335834015956172E-4</v>
      </c>
    </row>
    <row r="7" spans="1:8" ht="18.75">
      <c r="A7" s="178"/>
      <c r="B7" s="23" t="s">
        <v>19</v>
      </c>
      <c r="C7" s="78">
        <v>21.509055140324541</v>
      </c>
      <c r="D7" s="38">
        <v>107.45364589388987</v>
      </c>
      <c r="E7" s="112">
        <v>81.228900611031506</v>
      </c>
      <c r="F7" s="10">
        <v>96.914797252978929</v>
      </c>
      <c r="G7" s="113">
        <v>5.5400602045936536</v>
      </c>
    </row>
    <row r="8" spans="1:8" ht="18.75">
      <c r="A8" s="178"/>
      <c r="B8" s="21" t="s">
        <v>20</v>
      </c>
      <c r="C8" s="135">
        <v>0.98895119999999537</v>
      </c>
      <c r="D8" s="40">
        <v>1.892360839281845</v>
      </c>
      <c r="E8" s="136">
        <v>-4.7550134114461571</v>
      </c>
      <c r="F8" s="10">
        <v>-0.77880787593087242</v>
      </c>
      <c r="G8" s="137">
        <v>-0.34127529327438388</v>
      </c>
    </row>
    <row r="9" spans="1:8" ht="16.5" thickBot="1">
      <c r="A9" s="179"/>
      <c r="B9" s="25" t="s">
        <v>21</v>
      </c>
      <c r="C9" s="146">
        <v>9.8501209855456281E-3</v>
      </c>
      <c r="D9" s="139">
        <v>0.86927789351745899</v>
      </c>
      <c r="E9" s="147">
        <v>5.0388015190026218E-2</v>
      </c>
      <c r="F9" s="47">
        <v>0.55296073153541925</v>
      </c>
      <c r="G9" s="141">
        <v>9.7103628683695375E-2</v>
      </c>
    </row>
    <row r="10" spans="1:8" ht="18.75">
      <c r="A10" s="180" t="s">
        <v>2</v>
      </c>
      <c r="B10" s="20" t="s">
        <v>16</v>
      </c>
      <c r="C10" s="129">
        <v>11.018098924374952</v>
      </c>
      <c r="D10" s="31">
        <v>96.591666666666683</v>
      </c>
      <c r="E10" s="30">
        <v>94.845552534201332</v>
      </c>
      <c r="F10" s="30">
        <v>90.155184207539889</v>
      </c>
      <c r="G10" s="130">
        <v>5.9782711103516846</v>
      </c>
    </row>
    <row r="11" spans="1:8" ht="18.75">
      <c r="A11" s="178"/>
      <c r="B11" s="21" t="s">
        <v>17</v>
      </c>
      <c r="C11" s="131">
        <v>0.40239946383245212</v>
      </c>
      <c r="D11" s="33">
        <v>11.465962180200222</v>
      </c>
      <c r="E11" s="34">
        <v>2.5308339878049129</v>
      </c>
      <c r="F11" s="34">
        <v>2.5308339878049129</v>
      </c>
      <c r="G11" s="132">
        <v>0.25904018837238879</v>
      </c>
    </row>
    <row r="12" spans="1:8">
      <c r="A12" s="178"/>
      <c r="B12" s="22" t="s">
        <v>18</v>
      </c>
      <c r="C12" s="133">
        <v>0.12410176207684098</v>
      </c>
      <c r="D12" s="37">
        <v>0.10867369592848142</v>
      </c>
      <c r="E12" s="37">
        <v>0.13487766095338238</v>
      </c>
      <c r="F12" s="37">
        <v>0.13487766095338238</v>
      </c>
      <c r="G12" s="134">
        <v>1.9751965909663299E-2</v>
      </c>
    </row>
    <row r="13" spans="1:8" ht="18.75">
      <c r="A13" s="178"/>
      <c r="B13" s="23" t="s">
        <v>19</v>
      </c>
      <c r="C13" s="78">
        <v>12.726997491041617</v>
      </c>
      <c r="D13" s="38">
        <v>91.705046611387218</v>
      </c>
      <c r="E13" s="148">
        <v>100.16425938694987</v>
      </c>
      <c r="F13" s="10">
        <v>88.143707880391403</v>
      </c>
      <c r="G13" s="113">
        <v>6.1582953843500068</v>
      </c>
    </row>
    <row r="14" spans="1:8" ht="18.75">
      <c r="A14" s="178"/>
      <c r="B14" s="21" t="s">
        <v>20</v>
      </c>
      <c r="C14" s="135">
        <v>1.7088985666666652</v>
      </c>
      <c r="D14" s="10">
        <v>-5.059049319588782</v>
      </c>
      <c r="E14" s="11">
        <v>5.3187068527485337</v>
      </c>
      <c r="F14" s="10">
        <v>-2.2311266344018632</v>
      </c>
      <c r="G14" s="137">
        <v>0.18002427399832222</v>
      </c>
    </row>
    <row r="15" spans="1:8" ht="16.5" thickBot="1">
      <c r="A15" s="181"/>
      <c r="B15" s="26" t="s">
        <v>21</v>
      </c>
      <c r="C15" s="149">
        <v>4.4056216096265102E-6</v>
      </c>
      <c r="D15" s="48">
        <v>0.59329121201671708</v>
      </c>
      <c r="E15" s="121">
        <v>3.9007266614386372E-5</v>
      </c>
      <c r="F15" s="43">
        <v>0.41365233909269483</v>
      </c>
      <c r="G15" s="143">
        <v>0.34532388566369854</v>
      </c>
    </row>
    <row r="16" spans="1:8" ht="18.75">
      <c r="A16" s="177" t="s">
        <v>3</v>
      </c>
      <c r="B16" s="24" t="s">
        <v>16</v>
      </c>
      <c r="C16" s="144">
        <v>0.95459999952961994</v>
      </c>
      <c r="D16" s="45">
        <v>44.440666666666658</v>
      </c>
      <c r="E16" s="44">
        <v>80.978247508695546</v>
      </c>
      <c r="F16" s="44">
        <v>72.953252271193477</v>
      </c>
      <c r="G16" s="145">
        <v>2.9940607494281939</v>
      </c>
    </row>
    <row r="17" spans="1:7" ht="18.75">
      <c r="A17" s="178"/>
      <c r="B17" s="21" t="s">
        <v>17</v>
      </c>
      <c r="C17" s="131">
        <v>1.3892547267874853</v>
      </c>
      <c r="D17" s="33">
        <v>1.5714794215795367</v>
      </c>
      <c r="E17" s="34">
        <v>6.0452591812773679</v>
      </c>
      <c r="F17" s="34">
        <v>6.0452591812773679</v>
      </c>
      <c r="G17" s="132">
        <v>0.3314770291845382</v>
      </c>
    </row>
    <row r="18" spans="1:7">
      <c r="A18" s="178"/>
      <c r="B18" s="22" t="s">
        <v>18</v>
      </c>
      <c r="C18" s="133">
        <v>2.092977740951955E-2</v>
      </c>
      <c r="D18" s="37">
        <v>0.77476563225596573</v>
      </c>
      <c r="E18" s="37">
        <v>0.10754612417898968</v>
      </c>
      <c r="F18" s="37">
        <v>0.10754612417898968</v>
      </c>
      <c r="G18" s="134">
        <v>0.12091520364162556</v>
      </c>
    </row>
    <row r="19" spans="1:7" ht="18.75">
      <c r="A19" s="178"/>
      <c r="B19" s="23" t="s">
        <v>19</v>
      </c>
      <c r="C19" s="78">
        <v>2.4113984995296196</v>
      </c>
      <c r="D19" s="38">
        <v>48.02945996317132</v>
      </c>
      <c r="E19" s="112">
        <v>87.617133099146869</v>
      </c>
      <c r="F19" s="10">
        <v>75.247583318584404</v>
      </c>
      <c r="G19" s="113">
        <v>3.3830371199889848</v>
      </c>
    </row>
    <row r="20" spans="1:7" ht="18.75">
      <c r="A20" s="178"/>
      <c r="B20" s="21" t="s">
        <v>20</v>
      </c>
      <c r="C20" s="135">
        <v>1.4567984999999997</v>
      </c>
      <c r="D20" s="10">
        <v>8.0754713321987204</v>
      </c>
      <c r="E20" s="11">
        <v>6.6388855904513235</v>
      </c>
      <c r="F20" s="10">
        <v>3.1449331948383592</v>
      </c>
      <c r="G20" s="137">
        <v>0.38897637056079093</v>
      </c>
    </row>
    <row r="21" spans="1:7" ht="16.5" thickBot="1">
      <c r="A21" s="179"/>
      <c r="B21" s="25" t="s">
        <v>21</v>
      </c>
      <c r="C21" s="146">
        <v>8.7177914749893039E-3</v>
      </c>
      <c r="D21" s="46">
        <v>0.53656025620875614</v>
      </c>
      <c r="E21" s="89">
        <v>8.8664589098100405E-3</v>
      </c>
      <c r="F21" s="47">
        <v>0.43273401033822134</v>
      </c>
      <c r="G21" s="141">
        <v>5.1797146702887528E-2</v>
      </c>
    </row>
    <row r="22" spans="1:7" ht="18.75">
      <c r="A22" s="180" t="s">
        <v>4</v>
      </c>
      <c r="B22" s="20" t="s">
        <v>16</v>
      </c>
      <c r="C22" s="129">
        <v>-4.2759224731851075</v>
      </c>
      <c r="D22" s="31">
        <v>121.44633333333333</v>
      </c>
      <c r="E22" s="30">
        <v>84.148336613373843</v>
      </c>
      <c r="F22" s="30">
        <v>97.394337081062659</v>
      </c>
      <c r="G22" s="130">
        <v>23.762297743855463</v>
      </c>
    </row>
    <row r="23" spans="1:7" ht="18.75">
      <c r="A23" s="178"/>
      <c r="B23" s="21" t="s">
        <v>17</v>
      </c>
      <c r="C23" s="131">
        <v>0.30357355863394087</v>
      </c>
      <c r="D23" s="33">
        <v>-0.76682981090099678</v>
      </c>
      <c r="E23" s="34">
        <v>-0.46054396603611331</v>
      </c>
      <c r="F23" s="34">
        <v>-0.46054396603611331</v>
      </c>
      <c r="G23" s="132">
        <v>0.51157555999722382</v>
      </c>
    </row>
    <row r="24" spans="1:7">
      <c r="A24" s="178"/>
      <c r="B24" s="22" t="s">
        <v>18</v>
      </c>
      <c r="C24" s="133">
        <v>0.53034009382468894</v>
      </c>
      <c r="D24" s="37">
        <v>0.91397383422346701</v>
      </c>
      <c r="E24" s="37">
        <v>0.45665744707006939</v>
      </c>
      <c r="F24" s="37">
        <v>0.45665744707006939</v>
      </c>
      <c r="G24" s="134">
        <v>0.58398371597177978</v>
      </c>
    </row>
    <row r="25" spans="1:7" ht="18.75">
      <c r="A25" s="178"/>
      <c r="B25" s="23" t="s">
        <v>19</v>
      </c>
      <c r="C25" s="78">
        <v>-2.5737418398517748</v>
      </c>
      <c r="D25" s="38">
        <v>141.89104038338391</v>
      </c>
      <c r="E25" s="112">
        <v>88.423874563752364</v>
      </c>
      <c r="F25" s="10">
        <v>96.880542885553353</v>
      </c>
      <c r="G25" s="113">
        <v>24.835101949511809</v>
      </c>
    </row>
    <row r="26" spans="1:7" ht="18.75">
      <c r="A26" s="178"/>
      <c r="B26" s="21" t="s">
        <v>20</v>
      </c>
      <c r="C26" s="135">
        <v>1.7021806333333327</v>
      </c>
      <c r="D26" s="10">
        <v>16.834355133584864</v>
      </c>
      <c r="E26" s="11">
        <v>4.2755379503785207</v>
      </c>
      <c r="F26" s="10">
        <v>-0.52754011260599498</v>
      </c>
      <c r="G26" s="170">
        <v>1.0728042056563467</v>
      </c>
    </row>
    <row r="27" spans="1:7" ht="16.5" thickBot="1">
      <c r="A27" s="181"/>
      <c r="B27" s="26" t="s">
        <v>21</v>
      </c>
      <c r="C27" s="149">
        <v>3.2863618544356587E-3</v>
      </c>
      <c r="D27" s="48">
        <v>1.7017715836730993E-2</v>
      </c>
      <c r="E27" s="121">
        <v>8.9676975490692409E-2</v>
      </c>
      <c r="F27" s="43">
        <v>0.26890090107785514</v>
      </c>
      <c r="G27" s="122">
        <v>0.1485666266440332</v>
      </c>
    </row>
    <row r="28" spans="1:7" ht="18.75">
      <c r="A28" s="177" t="s">
        <v>5</v>
      </c>
      <c r="B28" s="24" t="s">
        <v>16</v>
      </c>
      <c r="C28" s="144">
        <v>8.3901266027559807</v>
      </c>
      <c r="D28" s="45">
        <v>125.89433333333334</v>
      </c>
      <c r="E28" s="44">
        <v>97.026689303270587</v>
      </c>
      <c r="F28" s="44">
        <v>97.97931187989866</v>
      </c>
      <c r="G28" s="145">
        <v>34.224858224156073</v>
      </c>
    </row>
    <row r="29" spans="1:7" ht="18.75">
      <c r="A29" s="178"/>
      <c r="B29" s="21" t="s">
        <v>17</v>
      </c>
      <c r="C29" s="131">
        <v>0.49998225263160473</v>
      </c>
      <c r="D29" s="33">
        <v>7.8057174638487208</v>
      </c>
      <c r="E29" s="34">
        <v>0.2884670647180308</v>
      </c>
      <c r="F29" s="34">
        <v>0.2884670647180308</v>
      </c>
      <c r="G29" s="132">
        <v>0.22258447674566337</v>
      </c>
    </row>
    <row r="30" spans="1:7">
      <c r="A30" s="178"/>
      <c r="B30" s="22" t="s">
        <v>18</v>
      </c>
      <c r="C30" s="133">
        <v>8.3386623109174191E-2</v>
      </c>
      <c r="D30" s="37">
        <v>0.25740026032466545</v>
      </c>
      <c r="E30" s="49">
        <v>0.56890838709504377</v>
      </c>
      <c r="F30" s="49">
        <v>0.56890838709504377</v>
      </c>
      <c r="G30" s="134">
        <v>0.53618621904884822</v>
      </c>
    </row>
    <row r="31" spans="1:7" ht="18.75">
      <c r="A31" s="178"/>
      <c r="B31" s="23" t="s">
        <v>19</v>
      </c>
      <c r="C31" s="78">
        <v>9.2637707805337577</v>
      </c>
      <c r="D31" s="38">
        <v>118.18433338500196</v>
      </c>
      <c r="E31" s="112">
        <v>93.758026023156546</v>
      </c>
      <c r="F31" s="10">
        <v>97.555958264854638</v>
      </c>
      <c r="G31" s="113">
        <v>32.92067215212321</v>
      </c>
    </row>
    <row r="32" spans="1:7" ht="18.75">
      <c r="A32" s="178"/>
      <c r="B32" s="21" t="s">
        <v>20</v>
      </c>
      <c r="C32" s="135">
        <v>0.87364417777777703</v>
      </c>
      <c r="D32" s="10">
        <v>-6.1241834673506927</v>
      </c>
      <c r="E32" s="11">
        <v>-3.2686632801140405</v>
      </c>
      <c r="F32" s="10">
        <v>-0.43208469923013543</v>
      </c>
      <c r="G32" s="171">
        <v>-1.3041860720328629</v>
      </c>
    </row>
    <row r="33" spans="1:15" ht="16.5" thickBot="1">
      <c r="A33" s="179"/>
      <c r="B33" s="25" t="s">
        <v>21</v>
      </c>
      <c r="C33" s="146">
        <v>3.0391298817195804E-3</v>
      </c>
      <c r="D33" s="46">
        <v>0.37483591536841898</v>
      </c>
      <c r="E33" s="117">
        <v>1.927734632048192E-2</v>
      </c>
      <c r="F33" s="47">
        <v>0.39196644520337065</v>
      </c>
      <c r="G33" s="118">
        <v>1.2012128797318599E-2</v>
      </c>
    </row>
    <row r="34" spans="1:15" ht="18.75">
      <c r="A34" s="177" t="s">
        <v>6</v>
      </c>
      <c r="B34" s="24" t="s">
        <v>16</v>
      </c>
      <c r="C34" s="129">
        <v>19.048655552970043</v>
      </c>
      <c r="D34" s="31">
        <v>68.443000000000012</v>
      </c>
      <c r="E34" s="30">
        <v>86.880850627901253</v>
      </c>
      <c r="F34" s="30">
        <v>84.021073803851095</v>
      </c>
      <c r="G34" s="130">
        <v>6.5225095667749091</v>
      </c>
    </row>
    <row r="35" spans="1:15" ht="18.75">
      <c r="A35" s="178"/>
      <c r="B35" s="21" t="s">
        <v>17</v>
      </c>
      <c r="C35" s="131">
        <v>0.43093584968021187</v>
      </c>
      <c r="D35" s="33">
        <v>-1.3112124582869777</v>
      </c>
      <c r="E35" s="34">
        <v>0.44622613358832786</v>
      </c>
      <c r="F35" s="34">
        <v>0.44622613358832786</v>
      </c>
      <c r="G35" s="132">
        <v>-0.23543562447349112</v>
      </c>
    </row>
    <row r="36" spans="1:15">
      <c r="A36" s="178"/>
      <c r="B36" s="22" t="s">
        <v>18</v>
      </c>
      <c r="C36" s="133">
        <v>0.30645053395327715</v>
      </c>
      <c r="D36" s="37">
        <v>0.84443406685602485</v>
      </c>
      <c r="E36" s="37">
        <v>0.87011183663679004</v>
      </c>
      <c r="F36" s="37">
        <v>0.87011183663679004</v>
      </c>
      <c r="G36" s="134">
        <v>0.42309157501835526</v>
      </c>
    </row>
    <row r="37" spans="1:15" ht="18.75">
      <c r="A37" s="178"/>
      <c r="B37" s="23" t="s">
        <v>19</v>
      </c>
      <c r="C37" s="78">
        <v>20.095253152970045</v>
      </c>
      <c r="D37" s="38">
        <v>71.260257356142802</v>
      </c>
      <c r="E37" s="112">
        <v>83.365457362972435</v>
      </c>
      <c r="F37" s="10">
        <v>81.857752838948528</v>
      </c>
      <c r="G37" s="113">
        <v>6.0534828297564891</v>
      </c>
    </row>
    <row r="38" spans="1:15" ht="18.75">
      <c r="A38" s="178"/>
      <c r="B38" s="21" t="s">
        <v>20</v>
      </c>
      <c r="C38" s="135">
        <v>1.0465976000000019</v>
      </c>
      <c r="D38" s="10">
        <v>4.1162096286585745</v>
      </c>
      <c r="E38" s="11">
        <v>-3.515393264928818</v>
      </c>
      <c r="F38" s="10">
        <v>-2.5747361548281118</v>
      </c>
      <c r="G38" s="171">
        <v>-0.46902673701842001</v>
      </c>
    </row>
    <row r="39" spans="1:15" ht="16.5" thickBot="1">
      <c r="A39" s="179"/>
      <c r="B39" s="25" t="s">
        <v>21</v>
      </c>
      <c r="C39" s="149">
        <v>2.7041697323016839E-3</v>
      </c>
      <c r="D39" s="48">
        <v>0.68364256350815056</v>
      </c>
      <c r="E39" s="121">
        <v>1.4993256079792041E-2</v>
      </c>
      <c r="F39" s="43">
        <v>0.53426072678503878</v>
      </c>
      <c r="G39" s="122">
        <v>9.313378686554577E-2</v>
      </c>
    </row>
    <row r="40" spans="1:15" ht="18.75">
      <c r="A40" s="180" t="s">
        <v>7</v>
      </c>
      <c r="B40" s="20" t="s">
        <v>16</v>
      </c>
      <c r="C40" s="144">
        <v>21.01588171755883</v>
      </c>
      <c r="D40" s="45">
        <v>62.45066666666667</v>
      </c>
      <c r="E40" s="44">
        <v>94.984138785270105</v>
      </c>
      <c r="F40" s="44">
        <v>82.207128798918376</v>
      </c>
      <c r="G40" s="145">
        <v>5.467479752078571</v>
      </c>
    </row>
    <row r="41" spans="1:15" ht="18.75">
      <c r="A41" s="178"/>
      <c r="B41" s="21" t="s">
        <v>17</v>
      </c>
      <c r="C41" s="131">
        <v>0.98459578344265752</v>
      </c>
      <c r="D41" s="33">
        <v>1.2286540600667397</v>
      </c>
      <c r="E41" s="34">
        <v>-0.59413380981511887</v>
      </c>
      <c r="F41" s="34">
        <v>-0.59413380981511887</v>
      </c>
      <c r="G41" s="132">
        <v>-4.8454012894229244E-2</v>
      </c>
    </row>
    <row r="42" spans="1:15">
      <c r="A42" s="178"/>
      <c r="B42" s="22" t="s">
        <v>18</v>
      </c>
      <c r="C42" s="133">
        <v>8.8119204991008639E-3</v>
      </c>
      <c r="D42" s="37">
        <v>0.85003321412831612</v>
      </c>
      <c r="E42" s="49">
        <v>0.83292544722372319</v>
      </c>
      <c r="F42" s="49">
        <v>0.83292544722372319</v>
      </c>
      <c r="G42" s="134">
        <v>0.80960991445706887</v>
      </c>
    </row>
    <row r="43" spans="1:15" ht="18.75">
      <c r="A43" s="178"/>
      <c r="B43" s="23" t="s">
        <v>19</v>
      </c>
      <c r="C43" s="78">
        <v>21.869338417558822</v>
      </c>
      <c r="D43" s="38">
        <v>68.342574184733465</v>
      </c>
      <c r="E43" s="112">
        <v>98.272496374880177</v>
      </c>
      <c r="F43" s="10">
        <v>79.426527408072104</v>
      </c>
      <c r="G43" s="113">
        <v>5.4661873716660683</v>
      </c>
    </row>
    <row r="44" spans="1:15" ht="18.75">
      <c r="A44" s="178"/>
      <c r="B44" s="21" t="s">
        <v>20</v>
      </c>
      <c r="C44" s="135">
        <v>0.85345669999999174</v>
      </c>
      <c r="D44" s="10">
        <v>9.4344989934456898</v>
      </c>
      <c r="E44" s="11">
        <v>3.2883575896100723</v>
      </c>
      <c r="F44" s="10">
        <v>-3.3824334111555241</v>
      </c>
      <c r="G44" s="137">
        <v>-1.2923804125026805E-3</v>
      </c>
    </row>
    <row r="45" spans="1:15" ht="16.5" thickBot="1">
      <c r="A45" s="179"/>
      <c r="B45" s="25" t="s">
        <v>21</v>
      </c>
      <c r="C45" s="149">
        <v>2.5935262882580055E-2</v>
      </c>
      <c r="D45" s="48">
        <v>0.55846647833873986</v>
      </c>
      <c r="E45" s="121">
        <v>3.7512726729262452E-2</v>
      </c>
      <c r="F45" s="43">
        <v>0.53214631117792366</v>
      </c>
      <c r="G45" s="143">
        <v>0.99693280210942892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20.520103940324546</v>
      </c>
      <c r="E49" s="100">
        <f>C5</f>
        <v>0.98804214626614595</v>
      </c>
      <c r="F49" s="97">
        <f>C6</f>
        <v>5.5909544221877995E-4</v>
      </c>
      <c r="G49" s="100">
        <f>C7</f>
        <v>21.509055140324541</v>
      </c>
      <c r="H49" s="100">
        <f>C8</f>
        <v>0.98895119999999537</v>
      </c>
      <c r="I49" s="97">
        <f>C9</f>
        <v>9.8501209855456281E-3</v>
      </c>
    </row>
    <row r="50" spans="1:9">
      <c r="A50" s="65">
        <v>26</v>
      </c>
      <c r="B50" s="98">
        <v>13</v>
      </c>
      <c r="C50" s="99">
        <v>52</v>
      </c>
      <c r="D50" s="100">
        <f>D4</f>
        <v>105.45800000000003</v>
      </c>
      <c r="E50" s="100">
        <f>D5</f>
        <v>-4.1311234705228097</v>
      </c>
      <c r="F50" s="97">
        <f>D6</f>
        <v>0.61668147827070352</v>
      </c>
      <c r="G50" s="100">
        <f>D7</f>
        <v>107.45364589388987</v>
      </c>
      <c r="H50" s="100">
        <f>D8</f>
        <v>1.892360839281845</v>
      </c>
      <c r="I50" s="97">
        <f>D9</f>
        <v>0.86927789351745899</v>
      </c>
    </row>
    <row r="51" spans="1:9">
      <c r="A51" s="65">
        <v>26</v>
      </c>
      <c r="B51" s="98">
        <v>13</v>
      </c>
      <c r="C51" s="99">
        <v>54</v>
      </c>
      <c r="D51" s="100">
        <f>E4</f>
        <v>85.983914022477663</v>
      </c>
      <c r="E51" s="100">
        <f>E5</f>
        <v>-0.51999899815910711</v>
      </c>
      <c r="F51" s="97">
        <f>E6</f>
        <v>0.32247539379973411</v>
      </c>
      <c r="G51" s="100">
        <f>E7</f>
        <v>81.228900611031506</v>
      </c>
      <c r="H51" s="100">
        <f>E8</f>
        <v>-4.7550134114461571</v>
      </c>
      <c r="I51" s="97">
        <f>E9</f>
        <v>5.0388015190026218E-2</v>
      </c>
    </row>
    <row r="52" spans="1:9">
      <c r="A52" s="65">
        <v>26</v>
      </c>
      <c r="B52" s="98">
        <v>13</v>
      </c>
      <c r="C52" s="101">
        <v>55</v>
      </c>
      <c r="D52" s="100">
        <f>F4</f>
        <v>97.67550175349011</v>
      </c>
      <c r="E52" s="100">
        <f>F5</f>
        <v>-0.51999899815910711</v>
      </c>
      <c r="F52" s="97">
        <f>F6</f>
        <v>0.32247539379973411</v>
      </c>
      <c r="G52" s="100">
        <f>F7</f>
        <v>96.914797252978929</v>
      </c>
      <c r="H52" s="100">
        <f>F8</f>
        <v>-0.77880787593087242</v>
      </c>
      <c r="I52" s="97">
        <f>F9</f>
        <v>0.55296073153541925</v>
      </c>
    </row>
    <row r="53" spans="1:9">
      <c r="A53" s="65">
        <v>26</v>
      </c>
      <c r="B53" s="98">
        <v>13</v>
      </c>
      <c r="C53" s="101">
        <v>56</v>
      </c>
      <c r="D53" s="100">
        <f>G4</f>
        <v>5.8813354978680374</v>
      </c>
      <c r="E53" s="100">
        <f>G5</f>
        <v>-0.65563372016102184</v>
      </c>
      <c r="F53" s="97">
        <f>G6</f>
        <v>7.0335834015956172E-4</v>
      </c>
      <c r="G53" s="100">
        <f>G7</f>
        <v>5.5400602045936536</v>
      </c>
      <c r="H53" s="100">
        <f>G8</f>
        <v>-0.34127529327438388</v>
      </c>
      <c r="I53" s="97">
        <f>G9</f>
        <v>9.7103628683695375E-2</v>
      </c>
    </row>
    <row r="54" spans="1:9">
      <c r="A54" s="65">
        <v>26</v>
      </c>
      <c r="B54" s="98">
        <v>14</v>
      </c>
      <c r="C54" s="99">
        <v>51</v>
      </c>
      <c r="D54" s="100">
        <f>C10</f>
        <v>11.018098924374952</v>
      </c>
      <c r="E54" s="100">
        <f>C11</f>
        <v>0.40239946383245212</v>
      </c>
      <c r="F54" s="97">
        <f>C12</f>
        <v>0.12410176207684098</v>
      </c>
      <c r="G54" s="100">
        <f>C13</f>
        <v>12.726997491041617</v>
      </c>
      <c r="H54" s="100">
        <f>C14</f>
        <v>1.7088985666666652</v>
      </c>
      <c r="I54" s="97">
        <f>C15</f>
        <v>4.4056216096265102E-6</v>
      </c>
    </row>
    <row r="55" spans="1:9">
      <c r="A55" s="65">
        <v>26</v>
      </c>
      <c r="B55" s="98">
        <v>14</v>
      </c>
      <c r="C55" s="99">
        <v>52</v>
      </c>
      <c r="D55" s="100">
        <f>D10</f>
        <v>96.591666666666683</v>
      </c>
      <c r="E55" s="100">
        <f>D11</f>
        <v>11.465962180200222</v>
      </c>
      <c r="F55" s="97">
        <f>D12</f>
        <v>0.10867369592848142</v>
      </c>
      <c r="G55" s="100">
        <f>D13</f>
        <v>91.705046611387218</v>
      </c>
      <c r="H55" s="100">
        <f>D14</f>
        <v>-5.059049319588782</v>
      </c>
      <c r="I55" s="97">
        <f>D15</f>
        <v>0.59329121201671708</v>
      </c>
    </row>
    <row r="56" spans="1:9">
      <c r="A56" s="65">
        <v>26</v>
      </c>
      <c r="B56" s="98">
        <v>14</v>
      </c>
      <c r="C56" s="99">
        <v>54</v>
      </c>
      <c r="D56" s="100">
        <f>E10</f>
        <v>94.845552534201332</v>
      </c>
      <c r="E56" s="100">
        <f>E11</f>
        <v>2.5308339878049129</v>
      </c>
      <c r="F56" s="97">
        <f>E12</f>
        <v>0.13487766095338238</v>
      </c>
      <c r="G56" s="100">
        <f>E13</f>
        <v>100.16425938694987</v>
      </c>
      <c r="H56" s="100">
        <f>E14</f>
        <v>5.3187068527485337</v>
      </c>
      <c r="I56" s="97">
        <f>E15</f>
        <v>3.9007266614386372E-5</v>
      </c>
    </row>
    <row r="57" spans="1:9">
      <c r="A57" s="65">
        <v>26</v>
      </c>
      <c r="B57" s="98">
        <v>14</v>
      </c>
      <c r="C57" s="101">
        <v>55</v>
      </c>
      <c r="D57" s="100">
        <f>F10</f>
        <v>90.155184207539889</v>
      </c>
      <c r="E57" s="100">
        <f>F11</f>
        <v>2.5308339878049129</v>
      </c>
      <c r="F57" s="97">
        <f>F12</f>
        <v>0.13487766095338238</v>
      </c>
      <c r="G57" s="100">
        <f>F13</f>
        <v>88.143707880391403</v>
      </c>
      <c r="H57" s="100">
        <f>F14</f>
        <v>-2.2311266344018632</v>
      </c>
      <c r="I57" s="97">
        <f>F15</f>
        <v>0.41365233909269483</v>
      </c>
    </row>
    <row r="58" spans="1:9">
      <c r="A58" s="65">
        <v>26</v>
      </c>
      <c r="B58" s="98">
        <v>14</v>
      </c>
      <c r="C58" s="101">
        <v>56</v>
      </c>
      <c r="D58" s="100">
        <f>G10</f>
        <v>5.9782711103516846</v>
      </c>
      <c r="E58" s="100">
        <f>G11</f>
        <v>0.25904018837238879</v>
      </c>
      <c r="F58" s="97">
        <f>G12</f>
        <v>1.9751965909663299E-2</v>
      </c>
      <c r="G58" s="100">
        <f>G13</f>
        <v>6.1582953843500068</v>
      </c>
      <c r="H58" s="100">
        <f>G14</f>
        <v>0.18002427399832222</v>
      </c>
      <c r="I58" s="97">
        <f>G15</f>
        <v>0.34532388566369854</v>
      </c>
    </row>
    <row r="59" spans="1:9">
      <c r="A59" s="65">
        <v>26</v>
      </c>
      <c r="B59" s="98">
        <v>15</v>
      </c>
      <c r="C59" s="99">
        <v>51</v>
      </c>
      <c r="D59" s="100">
        <f>C16</f>
        <v>0.95459999952961994</v>
      </c>
      <c r="E59" s="100">
        <f>C17</f>
        <v>1.3892547267874853</v>
      </c>
      <c r="F59" s="97">
        <f>C18</f>
        <v>2.092977740951955E-2</v>
      </c>
      <c r="G59" s="100">
        <f>C19</f>
        <v>2.4113984995296196</v>
      </c>
      <c r="H59" s="100">
        <f>C20</f>
        <v>1.4567984999999997</v>
      </c>
      <c r="I59" s="97">
        <f>C21</f>
        <v>8.7177914749893039E-3</v>
      </c>
    </row>
    <row r="60" spans="1:9">
      <c r="A60" s="65">
        <v>26</v>
      </c>
      <c r="B60" s="98">
        <v>15</v>
      </c>
      <c r="C60" s="99">
        <v>52</v>
      </c>
      <c r="D60" s="100">
        <f>D16</f>
        <v>44.440666666666658</v>
      </c>
      <c r="E60" s="100">
        <f>D17</f>
        <v>1.5714794215795367</v>
      </c>
      <c r="F60" s="97">
        <f>D18</f>
        <v>0.77476563225596573</v>
      </c>
      <c r="G60" s="100">
        <f>D19</f>
        <v>48.02945996317132</v>
      </c>
      <c r="H60" s="100">
        <f>D20</f>
        <v>8.0754713321987204</v>
      </c>
      <c r="I60" s="97">
        <f>D21</f>
        <v>0.53656025620875614</v>
      </c>
    </row>
    <row r="61" spans="1:9">
      <c r="A61" s="65">
        <v>26</v>
      </c>
      <c r="B61" s="98">
        <v>15</v>
      </c>
      <c r="C61" s="99">
        <v>54</v>
      </c>
      <c r="D61" s="100">
        <f>E16</f>
        <v>80.978247508695546</v>
      </c>
      <c r="E61" s="100">
        <f>E17</f>
        <v>6.0452591812773679</v>
      </c>
      <c r="F61" s="97">
        <f>E18</f>
        <v>0.10754612417898968</v>
      </c>
      <c r="G61" s="100">
        <f>E19</f>
        <v>87.617133099146869</v>
      </c>
      <c r="H61" s="100">
        <f>E20</f>
        <v>6.6388855904513235</v>
      </c>
      <c r="I61" s="97">
        <f>E21</f>
        <v>8.8664589098100405E-3</v>
      </c>
    </row>
    <row r="62" spans="1:9">
      <c r="A62" s="65">
        <v>26</v>
      </c>
      <c r="B62" s="98">
        <v>15</v>
      </c>
      <c r="C62" s="101">
        <v>55</v>
      </c>
      <c r="D62" s="102">
        <f>F16</f>
        <v>72.953252271193477</v>
      </c>
      <c r="E62" s="100">
        <f>F17</f>
        <v>6.0452591812773679</v>
      </c>
      <c r="F62" s="97">
        <f>F18</f>
        <v>0.10754612417898968</v>
      </c>
      <c r="G62" s="100">
        <f>F19</f>
        <v>75.247583318584404</v>
      </c>
      <c r="H62" s="100">
        <f>F20</f>
        <v>3.1449331948383592</v>
      </c>
      <c r="I62" s="97">
        <f>F21</f>
        <v>0.43273401033822134</v>
      </c>
    </row>
    <row r="63" spans="1:9">
      <c r="A63" s="65">
        <v>26</v>
      </c>
      <c r="B63" s="98">
        <v>15</v>
      </c>
      <c r="C63" s="101">
        <v>56</v>
      </c>
      <c r="D63" s="102">
        <f>G16</f>
        <v>2.9940607494281939</v>
      </c>
      <c r="E63" s="100">
        <f>G17</f>
        <v>0.3314770291845382</v>
      </c>
      <c r="F63" s="97">
        <f>G18</f>
        <v>0.12091520364162556</v>
      </c>
      <c r="G63" s="100">
        <f>G19</f>
        <v>3.3830371199889848</v>
      </c>
      <c r="H63" s="100">
        <f>G20</f>
        <v>0.38897637056079093</v>
      </c>
      <c r="I63" s="97">
        <f>G21</f>
        <v>5.1797146702887528E-2</v>
      </c>
    </row>
    <row r="64" spans="1:9">
      <c r="A64" s="65">
        <v>26</v>
      </c>
      <c r="B64" s="98">
        <v>16</v>
      </c>
      <c r="C64" s="99">
        <v>51</v>
      </c>
      <c r="D64" s="100">
        <f>C22</f>
        <v>-4.2759224731851075</v>
      </c>
      <c r="E64" s="103">
        <f>C23</f>
        <v>0.30357355863394087</v>
      </c>
      <c r="F64" s="104">
        <f>C24</f>
        <v>0.53034009382468894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121.44633333333333</v>
      </c>
      <c r="E65" s="103">
        <f>D23</f>
        <v>-0.76682981090099678</v>
      </c>
      <c r="F65" s="104">
        <f>D24</f>
        <v>0.91397383422346701</v>
      </c>
      <c r="G65" s="100">
        <f>D25</f>
        <v>141.89104038338391</v>
      </c>
      <c r="H65" s="100">
        <f>D26</f>
        <v>16.834355133584864</v>
      </c>
      <c r="I65" s="97">
        <f>D27</f>
        <v>1.7017715836730993E-2</v>
      </c>
    </row>
    <row r="66" spans="1:9">
      <c r="A66" s="65">
        <v>26</v>
      </c>
      <c r="B66" s="98">
        <v>16</v>
      </c>
      <c r="C66" s="99">
        <v>54</v>
      </c>
      <c r="D66" s="100">
        <f>E22</f>
        <v>84.148336613373843</v>
      </c>
      <c r="E66" s="103">
        <f>E23</f>
        <v>-0.46054396603611331</v>
      </c>
      <c r="F66" s="104">
        <f>E24</f>
        <v>0.45665744707006939</v>
      </c>
      <c r="G66" s="100">
        <f>E25</f>
        <v>88.423874563752364</v>
      </c>
      <c r="H66" s="100">
        <f>E26</f>
        <v>4.2755379503785207</v>
      </c>
      <c r="I66" s="97">
        <f>E27</f>
        <v>8.9676975490692409E-2</v>
      </c>
    </row>
    <row r="67" spans="1:9">
      <c r="A67" s="65">
        <v>26</v>
      </c>
      <c r="B67" s="98">
        <v>16</v>
      </c>
      <c r="C67" s="101">
        <v>55</v>
      </c>
      <c r="D67" s="105">
        <f>F22</f>
        <v>97.394337081062659</v>
      </c>
      <c r="E67" s="106">
        <f>F23</f>
        <v>-0.46054396603611331</v>
      </c>
      <c r="F67" s="107">
        <f>F24</f>
        <v>0.45665744707006939</v>
      </c>
      <c r="G67" s="100">
        <f>F25</f>
        <v>96.880542885553353</v>
      </c>
      <c r="H67" s="100">
        <f>F26</f>
        <v>-0.52754011260599498</v>
      </c>
      <c r="I67" s="97">
        <f>F27</f>
        <v>0.26890090107785514</v>
      </c>
    </row>
    <row r="68" spans="1:9">
      <c r="A68" s="65">
        <v>26</v>
      </c>
      <c r="B68" s="98">
        <v>16</v>
      </c>
      <c r="C68" s="101">
        <v>56</v>
      </c>
      <c r="D68" s="108">
        <f>G22</f>
        <v>23.762297743855463</v>
      </c>
      <c r="E68" s="100">
        <f>G23</f>
        <v>0.51157555999722382</v>
      </c>
      <c r="F68" s="97">
        <f>G24</f>
        <v>0.58398371597177978</v>
      </c>
      <c r="G68" s="100">
        <f>G25</f>
        <v>24.835101949511809</v>
      </c>
      <c r="H68" s="100">
        <f>G23</f>
        <v>0.51157555999722382</v>
      </c>
      <c r="I68" s="97">
        <f>G24</f>
        <v>0.58398371597177978</v>
      </c>
    </row>
    <row r="69" spans="1:9">
      <c r="A69" s="65">
        <v>26</v>
      </c>
      <c r="B69" s="98">
        <v>17</v>
      </c>
      <c r="C69" s="99">
        <v>51</v>
      </c>
      <c r="D69" s="100">
        <f>C28</f>
        <v>8.3901266027559807</v>
      </c>
      <c r="E69" s="103">
        <f>C29</f>
        <v>0.49998225263160473</v>
      </c>
      <c r="F69" s="104">
        <f>C30</f>
        <v>8.3386623109174191E-2</v>
      </c>
      <c r="G69" s="100">
        <f>C31</f>
        <v>9.2637707805337577</v>
      </c>
      <c r="H69" s="100">
        <f>C32</f>
        <v>0.87364417777777703</v>
      </c>
      <c r="I69" s="97">
        <f>C33</f>
        <v>3.0391298817195804E-3</v>
      </c>
    </row>
    <row r="70" spans="1:9">
      <c r="A70" s="65">
        <v>26</v>
      </c>
      <c r="B70" s="98">
        <v>17</v>
      </c>
      <c r="C70" s="99">
        <v>52</v>
      </c>
      <c r="D70" s="100">
        <f>D28</f>
        <v>125.89433333333334</v>
      </c>
      <c r="E70" s="103">
        <f>D29</f>
        <v>7.8057174638487208</v>
      </c>
      <c r="F70" s="104">
        <f>D30</f>
        <v>0.25740026032466545</v>
      </c>
      <c r="G70" s="100">
        <f>D31</f>
        <v>118.18433338500196</v>
      </c>
      <c r="H70" s="100">
        <f>D32</f>
        <v>-6.1241834673506927</v>
      </c>
      <c r="I70" s="97">
        <f>D33</f>
        <v>0.37483591536841898</v>
      </c>
    </row>
    <row r="71" spans="1:9">
      <c r="A71" s="65">
        <v>26</v>
      </c>
      <c r="B71" s="98">
        <v>17</v>
      </c>
      <c r="C71" s="99">
        <v>54</v>
      </c>
      <c r="D71" s="100">
        <f>E28</f>
        <v>97.026689303270587</v>
      </c>
      <c r="E71" s="103">
        <f>E29</f>
        <v>0.2884670647180308</v>
      </c>
      <c r="F71" s="104">
        <f>E30</f>
        <v>0.56890838709504377</v>
      </c>
      <c r="G71" s="100">
        <f>E31</f>
        <v>93.758026023156546</v>
      </c>
      <c r="H71" s="100">
        <f>E32</f>
        <v>-3.2686632801140405</v>
      </c>
      <c r="I71" s="97">
        <f>E33</f>
        <v>1.927734632048192E-2</v>
      </c>
    </row>
    <row r="72" spans="1:9">
      <c r="A72" s="65">
        <v>26</v>
      </c>
      <c r="B72" s="98">
        <v>17</v>
      </c>
      <c r="C72" s="101">
        <v>55</v>
      </c>
      <c r="D72" s="105">
        <f>F28</f>
        <v>97.97931187989866</v>
      </c>
      <c r="E72" s="106">
        <f>F29</f>
        <v>0.2884670647180308</v>
      </c>
      <c r="F72" s="107">
        <f>F30</f>
        <v>0.56890838709504377</v>
      </c>
      <c r="G72" s="100">
        <f>F31</f>
        <v>97.555958264854638</v>
      </c>
      <c r="H72" s="100">
        <f>F32</f>
        <v>-0.43208469923013543</v>
      </c>
      <c r="I72" s="97">
        <f>F33</f>
        <v>0.39196644520337065</v>
      </c>
    </row>
    <row r="73" spans="1:9">
      <c r="A73" s="65">
        <v>26</v>
      </c>
      <c r="B73" s="98">
        <v>17</v>
      </c>
      <c r="C73" s="101">
        <v>56</v>
      </c>
      <c r="D73" s="108">
        <f>G28</f>
        <v>34.224858224156073</v>
      </c>
      <c r="E73" s="100">
        <f>G29</f>
        <v>0.22258447674566337</v>
      </c>
      <c r="F73" s="97">
        <f>G30</f>
        <v>0.53618621904884822</v>
      </c>
      <c r="G73" s="100">
        <f>G31</f>
        <v>32.92067215212321</v>
      </c>
      <c r="H73" s="100">
        <f>G32</f>
        <v>-1.3041860720328629</v>
      </c>
      <c r="I73" s="97">
        <f>G33</f>
        <v>1.2012128797318599E-2</v>
      </c>
    </row>
    <row r="74" spans="1:9">
      <c r="A74" s="65">
        <v>26</v>
      </c>
      <c r="B74" s="98">
        <v>18</v>
      </c>
      <c r="C74" s="99">
        <v>51</v>
      </c>
      <c r="D74" s="100">
        <f>C34</f>
        <v>19.048655552970043</v>
      </c>
      <c r="E74" s="103">
        <f>C35</f>
        <v>0.43093584968021187</v>
      </c>
      <c r="F74" s="104">
        <f>C36</f>
        <v>0.30645053395327715</v>
      </c>
      <c r="G74" s="100">
        <f>C37</f>
        <v>20.095253152970045</v>
      </c>
      <c r="H74" s="100">
        <f>C38</f>
        <v>1.0465976000000019</v>
      </c>
      <c r="I74" s="97">
        <f>C39</f>
        <v>2.7041697323016839E-3</v>
      </c>
    </row>
    <row r="75" spans="1:9">
      <c r="A75" s="65">
        <v>26</v>
      </c>
      <c r="B75" s="98">
        <v>18</v>
      </c>
      <c r="C75" s="99">
        <v>52</v>
      </c>
      <c r="D75" s="100">
        <f>D34</f>
        <v>68.443000000000012</v>
      </c>
      <c r="E75" s="103">
        <f>D35</f>
        <v>-1.3112124582869777</v>
      </c>
      <c r="F75" s="104">
        <f>D36</f>
        <v>0.84443406685602485</v>
      </c>
      <c r="G75" s="100">
        <f>D37</f>
        <v>71.260257356142802</v>
      </c>
      <c r="H75" s="100">
        <f>D38</f>
        <v>4.1162096286585745</v>
      </c>
      <c r="I75" s="97">
        <f>D39</f>
        <v>0.68364256350815056</v>
      </c>
    </row>
    <row r="76" spans="1:9">
      <c r="A76" s="65">
        <v>26</v>
      </c>
      <c r="B76" s="98">
        <v>18</v>
      </c>
      <c r="C76" s="99">
        <v>54</v>
      </c>
      <c r="D76" s="100">
        <f>E34</f>
        <v>86.880850627901253</v>
      </c>
      <c r="E76" s="103">
        <f>E35</f>
        <v>0.44622613358832786</v>
      </c>
      <c r="F76" s="104">
        <f>E36</f>
        <v>0.87011183663679004</v>
      </c>
      <c r="G76" s="100">
        <f>E37</f>
        <v>83.365457362972435</v>
      </c>
      <c r="H76" s="100">
        <f>E38</f>
        <v>-3.515393264928818</v>
      </c>
      <c r="I76" s="97">
        <f>E39</f>
        <v>1.4993256079792041E-2</v>
      </c>
    </row>
    <row r="77" spans="1:9">
      <c r="A77" s="65">
        <v>26</v>
      </c>
      <c r="B77" s="98">
        <v>18</v>
      </c>
      <c r="C77" s="101">
        <v>55</v>
      </c>
      <c r="D77" s="105">
        <f>F34</f>
        <v>84.021073803851095</v>
      </c>
      <c r="E77" s="106">
        <f>F35</f>
        <v>0.44622613358832786</v>
      </c>
      <c r="F77" s="107">
        <f>F36</f>
        <v>0.87011183663679004</v>
      </c>
      <c r="G77" s="100">
        <f>F37</f>
        <v>81.857752838948528</v>
      </c>
      <c r="H77" s="100">
        <f>F38</f>
        <v>-2.5747361548281118</v>
      </c>
      <c r="I77" s="97">
        <f>F39</f>
        <v>0.53426072678503878</v>
      </c>
    </row>
    <row r="78" spans="1:9">
      <c r="A78" s="65">
        <v>26</v>
      </c>
      <c r="B78" s="98">
        <v>18</v>
      </c>
      <c r="C78" s="101">
        <v>56</v>
      </c>
      <c r="D78" s="108">
        <f>G34</f>
        <v>6.5225095667749091</v>
      </c>
      <c r="E78" s="100">
        <f>G35</f>
        <v>-0.23543562447349112</v>
      </c>
      <c r="F78" s="97">
        <f>G36</f>
        <v>0.42309157501835526</v>
      </c>
      <c r="G78" s="100">
        <f>G37</f>
        <v>6.0534828297564891</v>
      </c>
      <c r="H78" s="100">
        <f>G38</f>
        <v>-0.46902673701842001</v>
      </c>
      <c r="I78" s="97">
        <f>G39</f>
        <v>9.313378686554577E-2</v>
      </c>
    </row>
    <row r="79" spans="1:9">
      <c r="A79" s="65">
        <v>26</v>
      </c>
      <c r="B79" s="98">
        <v>19</v>
      </c>
      <c r="C79" s="99">
        <v>51</v>
      </c>
      <c r="D79" s="100">
        <f>C40</f>
        <v>21.01588171755883</v>
      </c>
      <c r="E79" s="103">
        <f>C41</f>
        <v>0.98459578344265752</v>
      </c>
      <c r="F79" s="104">
        <f>C42</f>
        <v>8.8119204991008639E-3</v>
      </c>
      <c r="G79" s="100">
        <f>C43</f>
        <v>21.869338417558822</v>
      </c>
      <c r="H79" s="100">
        <f>C44</f>
        <v>0.85345669999999174</v>
      </c>
      <c r="I79" s="97">
        <f>C45</f>
        <v>2.5935262882580055E-2</v>
      </c>
    </row>
    <row r="80" spans="1:9">
      <c r="A80" s="65">
        <v>26</v>
      </c>
      <c r="B80" s="98">
        <v>19</v>
      </c>
      <c r="C80" s="99">
        <v>52</v>
      </c>
      <c r="D80" s="100">
        <f>D40</f>
        <v>62.45066666666667</v>
      </c>
      <c r="E80" s="100">
        <f>D41</f>
        <v>1.2286540600667397</v>
      </c>
      <c r="F80" s="104">
        <f>D42</f>
        <v>0.85003321412831612</v>
      </c>
      <c r="G80" s="100">
        <f>D43</f>
        <v>68.342574184733465</v>
      </c>
      <c r="H80" s="100">
        <f>D44</f>
        <v>9.4344989934456898</v>
      </c>
      <c r="I80" s="97">
        <f>D45</f>
        <v>0.55846647833873986</v>
      </c>
    </row>
    <row r="81" spans="1:9">
      <c r="A81" s="65">
        <v>26</v>
      </c>
      <c r="B81" s="98">
        <v>19</v>
      </c>
      <c r="C81" s="99">
        <v>54</v>
      </c>
      <c r="D81" s="100">
        <f>E40</f>
        <v>94.984138785270105</v>
      </c>
      <c r="E81" s="103">
        <f>E41</f>
        <v>-0.59413380981511887</v>
      </c>
      <c r="F81" s="104">
        <f>E42</f>
        <v>0.83292544722372319</v>
      </c>
      <c r="G81" s="100">
        <f>E43</f>
        <v>98.272496374880177</v>
      </c>
      <c r="H81" s="100">
        <f>E44</f>
        <v>3.2883575896100723</v>
      </c>
      <c r="I81" s="97">
        <f>E45</f>
        <v>3.7512726729262452E-2</v>
      </c>
    </row>
    <row r="82" spans="1:9">
      <c r="A82" s="65">
        <v>26</v>
      </c>
      <c r="B82" s="98">
        <v>19</v>
      </c>
      <c r="C82" s="101">
        <v>55</v>
      </c>
      <c r="D82" s="105">
        <f>F40</f>
        <v>82.207128798918376</v>
      </c>
      <c r="E82" s="106">
        <f>F41</f>
        <v>-0.59413380981511887</v>
      </c>
      <c r="F82" s="107">
        <f>F42</f>
        <v>0.83292544722372319</v>
      </c>
      <c r="G82" s="100">
        <f>F43</f>
        <v>79.426527408072104</v>
      </c>
      <c r="H82" s="100">
        <f>F44</f>
        <v>-3.3824334111555241</v>
      </c>
      <c r="I82" s="97">
        <f>F45</f>
        <v>0.53214631117792366</v>
      </c>
    </row>
    <row r="83" spans="1:9">
      <c r="A83" s="65">
        <v>26</v>
      </c>
      <c r="B83" s="98">
        <v>19</v>
      </c>
      <c r="C83" s="101">
        <v>56</v>
      </c>
      <c r="D83" s="108">
        <f>G40</f>
        <v>5.467479752078571</v>
      </c>
      <c r="E83" s="106">
        <f>G41</f>
        <v>-4.8454012894229244E-2</v>
      </c>
      <c r="F83" s="109">
        <f>G42</f>
        <v>0.80960991445706887</v>
      </c>
      <c r="G83" s="100">
        <f>G43</f>
        <v>5.4661873716660683</v>
      </c>
      <c r="H83" s="100">
        <f>G44</f>
        <v>-1.2923804125026805E-3</v>
      </c>
      <c r="I83" s="97">
        <f>G45</f>
        <v>0.99693280210942892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2"/>
  <dimension ref="A1:O83"/>
  <sheetViews>
    <sheetView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22.936570336071433</v>
      </c>
      <c r="D4" s="31">
        <v>79.439759262822307</v>
      </c>
      <c r="E4" s="30">
        <v>61.453960780959598</v>
      </c>
      <c r="F4" s="30">
        <v>93.715776676442573</v>
      </c>
      <c r="G4" s="130">
        <v>4.0446794031436886</v>
      </c>
    </row>
    <row r="5" spans="1:8" ht="18.75">
      <c r="A5" s="178"/>
      <c r="B5" s="21" t="s">
        <v>17</v>
      </c>
      <c r="C5" s="131">
        <v>9.5947522558884196E-2</v>
      </c>
      <c r="D5" s="33">
        <v>0.89147819134762718</v>
      </c>
      <c r="E5" s="34">
        <v>-0.69861521892676182</v>
      </c>
      <c r="F5" s="34">
        <v>-0.69861521892676182</v>
      </c>
      <c r="G5" s="132">
        <v>-0.7572747601632317</v>
      </c>
    </row>
    <row r="6" spans="1:8">
      <c r="A6" s="178"/>
      <c r="B6" s="22" t="s">
        <v>18</v>
      </c>
      <c r="C6" s="133">
        <v>7.2946600037296559E-5</v>
      </c>
      <c r="D6" s="37">
        <v>0.92465306509098344</v>
      </c>
      <c r="E6" s="37">
        <v>0.54036766865096131</v>
      </c>
      <c r="F6" s="37">
        <v>0.54036766865096131</v>
      </c>
      <c r="G6" s="134">
        <v>1.2878421515821867E-4</v>
      </c>
    </row>
    <row r="7" spans="1:8" ht="18.75">
      <c r="A7" s="178"/>
      <c r="B7" s="23" t="s">
        <v>19</v>
      </c>
      <c r="C7" s="78">
        <v>23.976271486071433</v>
      </c>
      <c r="D7" s="38">
        <v>80.651238558094207</v>
      </c>
      <c r="E7" s="112">
        <v>50.185033705521953</v>
      </c>
      <c r="F7" s="10">
        <v>92.973277611503605</v>
      </c>
      <c r="G7" s="113">
        <v>3.3529273030794835</v>
      </c>
    </row>
    <row r="8" spans="1:8" ht="18.75">
      <c r="A8" s="178"/>
      <c r="B8" s="21" t="s">
        <v>20</v>
      </c>
      <c r="C8" s="135">
        <v>1.0397011499999991</v>
      </c>
      <c r="D8" s="40">
        <v>1.5250289106035559</v>
      </c>
      <c r="E8" s="136">
        <v>-11.268927075437645</v>
      </c>
      <c r="F8" s="10">
        <v>-0.79228822645569363</v>
      </c>
      <c r="G8" s="137">
        <v>-0.69175210006420507</v>
      </c>
    </row>
    <row r="9" spans="1:8" ht="16.5" thickBot="1">
      <c r="A9" s="179"/>
      <c r="B9" s="25" t="s">
        <v>21</v>
      </c>
      <c r="C9" s="146">
        <v>3.1012246098893596E-3</v>
      </c>
      <c r="D9" s="139">
        <v>0.92206036366578437</v>
      </c>
      <c r="E9" s="147">
        <v>2.5964008651869984E-3</v>
      </c>
      <c r="F9" s="47">
        <v>0.80905313898473086</v>
      </c>
      <c r="G9" s="141">
        <v>3.2807746559680384E-2</v>
      </c>
    </row>
    <row r="10" spans="1:8" ht="18.75">
      <c r="A10" s="180" t="s">
        <v>2</v>
      </c>
      <c r="B10" s="20" t="s">
        <v>16</v>
      </c>
      <c r="C10" s="129">
        <v>13.967497957450172</v>
      </c>
      <c r="D10" s="31">
        <v>68.772518531771169</v>
      </c>
      <c r="E10" s="30">
        <v>95.815981274821254</v>
      </c>
      <c r="F10" s="30">
        <v>81.643514926929555</v>
      </c>
      <c r="G10" s="130">
        <v>5.4876794894710992</v>
      </c>
    </row>
    <row r="11" spans="1:8" ht="18.75">
      <c r="A11" s="178"/>
      <c r="B11" s="21" t="s">
        <v>17</v>
      </c>
      <c r="C11" s="131">
        <v>0.38669681526020161</v>
      </c>
      <c r="D11" s="33">
        <v>11.519901150349714</v>
      </c>
      <c r="E11" s="34">
        <v>3.9284088653862748</v>
      </c>
      <c r="F11" s="34">
        <v>3.9284088653862748</v>
      </c>
      <c r="G11" s="132">
        <v>0.18080921805581188</v>
      </c>
    </row>
    <row r="12" spans="1:8">
      <c r="A12" s="178"/>
      <c r="B12" s="22" t="s">
        <v>18</v>
      </c>
      <c r="C12" s="133">
        <v>0.12228504660683215</v>
      </c>
      <c r="D12" s="37">
        <v>6.8410625461319916E-2</v>
      </c>
      <c r="E12" s="37">
        <v>9.6366406286289674E-2</v>
      </c>
      <c r="F12" s="37">
        <v>9.6366406286289674E-2</v>
      </c>
      <c r="G12" s="134">
        <v>0.3325732056971934</v>
      </c>
    </row>
    <row r="13" spans="1:8" ht="18.75">
      <c r="A13" s="178"/>
      <c r="B13" s="23" t="s">
        <v>19</v>
      </c>
      <c r="C13" s="78">
        <v>15.650122074116839</v>
      </c>
      <c r="D13" s="38">
        <v>66.77913561071378</v>
      </c>
      <c r="E13" s="112">
        <v>85.460622276907685</v>
      </c>
      <c r="F13" s="10">
        <v>80.698645535256205</v>
      </c>
      <c r="G13" s="113">
        <v>4.8845968676827916</v>
      </c>
    </row>
    <row r="14" spans="1:8" ht="18.75">
      <c r="A14" s="178"/>
      <c r="B14" s="21" t="s">
        <v>20</v>
      </c>
      <c r="C14" s="135">
        <v>1.6826241166666662</v>
      </c>
      <c r="D14" s="10">
        <v>-2.8985166802296147</v>
      </c>
      <c r="E14" s="11">
        <v>-10.355358997913569</v>
      </c>
      <c r="F14" s="10">
        <v>-1.1573110154786985</v>
      </c>
      <c r="G14" s="137">
        <v>-0.60308262178830763</v>
      </c>
    </row>
    <row r="15" spans="1:8" ht="16.5" thickBot="1">
      <c r="A15" s="181"/>
      <c r="B15" s="26" t="s">
        <v>21</v>
      </c>
      <c r="C15" s="149">
        <v>6.3834711360891674E-6</v>
      </c>
      <c r="D15" s="48">
        <v>0.77856645329364549</v>
      </c>
      <c r="E15" s="121">
        <v>9.8286189931999314E-5</v>
      </c>
      <c r="F15" s="43">
        <v>0.72565273347951598</v>
      </c>
      <c r="G15" s="143">
        <v>1.4322079859367154E-2</v>
      </c>
    </row>
    <row r="16" spans="1:8" ht="18.75">
      <c r="A16" s="177" t="s">
        <v>3</v>
      </c>
      <c r="B16" s="24" t="s">
        <v>16</v>
      </c>
      <c r="C16" s="144">
        <v>4.4877398604523835</v>
      </c>
      <c r="D16" s="45">
        <v>38.891653433206777</v>
      </c>
      <c r="E16" s="44">
        <v>92.631843773561187</v>
      </c>
      <c r="F16" s="44">
        <v>69.578417258037319</v>
      </c>
      <c r="G16" s="145">
        <v>3.2486566053153578</v>
      </c>
    </row>
    <row r="17" spans="1:7" ht="18.75">
      <c r="A17" s="178"/>
      <c r="B17" s="21" t="s">
        <v>17</v>
      </c>
      <c r="C17" s="131">
        <v>1.270402919339215</v>
      </c>
      <c r="D17" s="33">
        <v>0.29558397323820834</v>
      </c>
      <c r="E17" s="34">
        <v>-1.5866979832778796</v>
      </c>
      <c r="F17" s="34">
        <v>-1.5866979832778796</v>
      </c>
      <c r="G17" s="132">
        <v>6.1787127727940865E-2</v>
      </c>
    </row>
    <row r="18" spans="1:7">
      <c r="A18" s="178"/>
      <c r="B18" s="22" t="s">
        <v>18</v>
      </c>
      <c r="C18" s="133">
        <v>1.5852737139549378E-2</v>
      </c>
      <c r="D18" s="37">
        <v>0.94969791280338578</v>
      </c>
      <c r="E18" s="37">
        <v>0.55022443528357523</v>
      </c>
      <c r="F18" s="37">
        <v>0.55022443528357523</v>
      </c>
      <c r="G18" s="134">
        <v>0.7755013706011461</v>
      </c>
    </row>
    <row r="19" spans="1:7" ht="18.75">
      <c r="A19" s="178"/>
      <c r="B19" s="23" t="s">
        <v>19</v>
      </c>
      <c r="C19" s="78">
        <v>5.5538012604523868</v>
      </c>
      <c r="D19" s="38">
        <v>42.344400431492318</v>
      </c>
      <c r="E19" s="112">
        <v>84.135850045006094</v>
      </c>
      <c r="F19" s="10">
        <v>71.274358759202258</v>
      </c>
      <c r="G19" s="113">
        <v>2.9851944336250282</v>
      </c>
    </row>
    <row r="20" spans="1:7" ht="18.75">
      <c r="A20" s="178"/>
      <c r="B20" s="21" t="s">
        <v>20</v>
      </c>
      <c r="C20" s="135">
        <v>1.0660614000000033</v>
      </c>
      <c r="D20" s="10">
        <v>8.8778611694032161</v>
      </c>
      <c r="E20" s="11">
        <v>-8.4959937285550922</v>
      </c>
      <c r="F20" s="10">
        <v>2.4374534058103032</v>
      </c>
      <c r="G20" s="137">
        <v>-0.26346217169032959</v>
      </c>
    </row>
    <row r="21" spans="1:7" ht="16.5" thickBot="1">
      <c r="A21" s="179"/>
      <c r="B21" s="25" t="s">
        <v>21</v>
      </c>
      <c r="C21" s="146">
        <v>1.3081262147198239E-2</v>
      </c>
      <c r="D21" s="46">
        <v>0.53621486905716997</v>
      </c>
      <c r="E21" s="89">
        <v>1.8207416471336006E-2</v>
      </c>
      <c r="F21" s="47">
        <v>0.63296118102945642</v>
      </c>
      <c r="G21" s="141">
        <v>0.18148715035903984</v>
      </c>
    </row>
    <row r="22" spans="1:7" ht="18.75">
      <c r="A22" s="180" t="s">
        <v>4</v>
      </c>
      <c r="B22" s="20" t="s">
        <v>16</v>
      </c>
      <c r="C22" s="129">
        <v>-0.79060497347554559</v>
      </c>
      <c r="D22" s="31">
        <v>95.209907411846018</v>
      </c>
      <c r="E22" s="30">
        <v>95.689099004590673</v>
      </c>
      <c r="F22" s="30">
        <v>93.818633852407771</v>
      </c>
      <c r="G22" s="130">
        <v>26.02394241123072</v>
      </c>
    </row>
    <row r="23" spans="1:7" ht="18.75">
      <c r="A23" s="178"/>
      <c r="B23" s="21" t="s">
        <v>17</v>
      </c>
      <c r="C23" s="131">
        <v>0.30194437476638281</v>
      </c>
      <c r="D23" s="33">
        <v>8.2536905272324557</v>
      </c>
      <c r="E23" s="34">
        <v>-0.15795046239488406</v>
      </c>
      <c r="F23" s="34">
        <v>-0.15795046239488406</v>
      </c>
      <c r="G23" s="132">
        <v>0.11054614902401638</v>
      </c>
    </row>
    <row r="24" spans="1:7">
      <c r="A24" s="178"/>
      <c r="B24" s="22" t="s">
        <v>18</v>
      </c>
      <c r="C24" s="133">
        <v>0.46377427644862779</v>
      </c>
      <c r="D24" s="37">
        <v>0.29399996456277955</v>
      </c>
      <c r="E24" s="37">
        <v>0.8846376839749488</v>
      </c>
      <c r="F24" s="37">
        <v>0.8846376839749488</v>
      </c>
      <c r="G24" s="134">
        <v>0.79417809926279204</v>
      </c>
    </row>
    <row r="25" spans="1:7" ht="18.75">
      <c r="A25" s="178"/>
      <c r="B25" s="23" t="s">
        <v>19</v>
      </c>
      <c r="C25" s="78">
        <v>0.56854970430223251</v>
      </c>
      <c r="D25" s="38">
        <v>110.96919491172956</v>
      </c>
      <c r="E25" s="112">
        <v>83.646483078290601</v>
      </c>
      <c r="F25" s="10">
        <v>94.441723673414629</v>
      </c>
      <c r="G25" s="113">
        <v>22.741655189973461</v>
      </c>
    </row>
    <row r="26" spans="1:7" ht="18.75">
      <c r="A26" s="178"/>
      <c r="B26" s="21" t="s">
        <v>20</v>
      </c>
      <c r="C26" s="135">
        <v>1.3591546777777781</v>
      </c>
      <c r="D26" s="10">
        <v>16.552150850976215</v>
      </c>
      <c r="E26" s="11">
        <v>-12.042615926300073</v>
      </c>
      <c r="F26" s="10">
        <v>0.66414292707254707</v>
      </c>
      <c r="G26" s="115">
        <v>-3.2822872212572598</v>
      </c>
    </row>
    <row r="27" spans="1:7" ht="16.5" thickBot="1">
      <c r="A27" s="181"/>
      <c r="B27" s="26" t="s">
        <v>21</v>
      </c>
      <c r="C27" s="149">
        <v>6.8744945367393579E-4</v>
      </c>
      <c r="D27" s="48">
        <v>4.8812157267633757E-2</v>
      </c>
      <c r="E27" s="76">
        <v>8.0095618231364033E-4</v>
      </c>
      <c r="F27" s="43">
        <v>0.45773007232080598</v>
      </c>
      <c r="G27" s="122">
        <v>1.0095891141822355E-3</v>
      </c>
    </row>
    <row r="28" spans="1:7" ht="18.75">
      <c r="A28" s="177" t="s">
        <v>5</v>
      </c>
      <c r="B28" s="24" t="s">
        <v>16</v>
      </c>
      <c r="C28" s="144">
        <v>9.6992570021314517</v>
      </c>
      <c r="D28" s="45">
        <v>99.113277762387369</v>
      </c>
      <c r="E28" s="44">
        <v>91.988352863351551</v>
      </c>
      <c r="F28" s="44">
        <v>95.280079698153287</v>
      </c>
      <c r="G28" s="145">
        <v>31.581904154216023</v>
      </c>
    </row>
    <row r="29" spans="1:7" ht="18.75">
      <c r="A29" s="178"/>
      <c r="B29" s="21" t="s">
        <v>17</v>
      </c>
      <c r="C29" s="131">
        <v>0.63971708849321773</v>
      </c>
      <c r="D29" s="33">
        <v>2.3502521065350339</v>
      </c>
      <c r="E29" s="34">
        <v>-1.6686980780816457E-2</v>
      </c>
      <c r="F29" s="34">
        <v>-1.6686980780816457E-2</v>
      </c>
      <c r="G29" s="132">
        <v>-0.89727623955552926</v>
      </c>
    </row>
    <row r="30" spans="1:7">
      <c r="A30" s="178"/>
      <c r="B30" s="22" t="s">
        <v>18</v>
      </c>
      <c r="C30" s="133">
        <v>1.3624344528738215E-2</v>
      </c>
      <c r="D30" s="37">
        <v>0.74738964514735073</v>
      </c>
      <c r="E30" s="49">
        <v>0.9845647944208602</v>
      </c>
      <c r="F30" s="49">
        <v>0.9845647944208602</v>
      </c>
      <c r="G30" s="134">
        <v>0.12669699405280899</v>
      </c>
    </row>
    <row r="31" spans="1:7" ht="18.75">
      <c r="A31" s="178"/>
      <c r="B31" s="23" t="s">
        <v>19</v>
      </c>
      <c r="C31" s="78">
        <v>10.524272679909229</v>
      </c>
      <c r="D31" s="38">
        <v>104.05528232818219</v>
      </c>
      <c r="E31" s="112">
        <v>84.523417919013056</v>
      </c>
      <c r="F31" s="10">
        <v>95.548449865598116</v>
      </c>
      <c r="G31" s="113">
        <v>29.034993081880113</v>
      </c>
    </row>
    <row r="32" spans="1:7" ht="18.75">
      <c r="A32" s="178"/>
      <c r="B32" s="21" t="s">
        <v>20</v>
      </c>
      <c r="C32" s="135">
        <v>0.82501567777777751</v>
      </c>
      <c r="D32" s="10">
        <v>4.9862184738181092</v>
      </c>
      <c r="E32" s="11">
        <v>-7.4649349443384949</v>
      </c>
      <c r="F32" s="10">
        <v>0.28166450772818091</v>
      </c>
      <c r="G32" s="115">
        <v>-2.5469110723359094</v>
      </c>
    </row>
    <row r="33" spans="1:15" ht="16.5" thickBot="1">
      <c r="A33" s="179"/>
      <c r="B33" s="25" t="s">
        <v>21</v>
      </c>
      <c r="C33" s="146">
        <v>9.6257079712966693E-5</v>
      </c>
      <c r="D33" s="46">
        <v>0.47266340817207553</v>
      </c>
      <c r="E33" s="117">
        <v>8.3002600044096349E-5</v>
      </c>
      <c r="F33" s="47">
        <v>0.77279888209785574</v>
      </c>
      <c r="G33" s="118">
        <v>5.673857980018972E-4</v>
      </c>
    </row>
    <row r="34" spans="1:15" ht="18.75">
      <c r="A34" s="177" t="s">
        <v>6</v>
      </c>
      <c r="B34" s="24" t="s">
        <v>16</v>
      </c>
      <c r="C34" s="129">
        <v>20.579015430285612</v>
      </c>
      <c r="D34" s="31">
        <v>46.884240732805587</v>
      </c>
      <c r="E34" s="30">
        <v>76.163299826190496</v>
      </c>
      <c r="F34" s="30">
        <v>92.624302240703216</v>
      </c>
      <c r="G34" s="130">
        <v>6.3486880293367269</v>
      </c>
    </row>
    <row r="35" spans="1:15" ht="18.75">
      <c r="A35" s="178"/>
      <c r="B35" s="21" t="s">
        <v>17</v>
      </c>
      <c r="C35" s="131">
        <v>0.65118423459242769</v>
      </c>
      <c r="D35" s="33">
        <v>3.1733864642560845</v>
      </c>
      <c r="E35" s="34">
        <v>-0.53567535851370618</v>
      </c>
      <c r="F35" s="34">
        <v>-0.53567535851370618</v>
      </c>
      <c r="G35" s="132">
        <v>-0.62435253854536432</v>
      </c>
    </row>
    <row r="36" spans="1:15">
      <c r="A36" s="178"/>
      <c r="B36" s="22" t="s">
        <v>18</v>
      </c>
      <c r="C36" s="133">
        <v>2.6511196220125505E-2</v>
      </c>
      <c r="D36" s="37">
        <v>0.40005740713224569</v>
      </c>
      <c r="E36" s="37">
        <v>0.64992763349950122</v>
      </c>
      <c r="F36" s="37">
        <v>0.64992763349950122</v>
      </c>
      <c r="G36" s="134">
        <v>2.4040023613877252E-2</v>
      </c>
    </row>
    <row r="37" spans="1:15" ht="18.75">
      <c r="A37" s="178"/>
      <c r="B37" s="23" t="s">
        <v>19</v>
      </c>
      <c r="C37" s="78">
        <v>21.627099030285617</v>
      </c>
      <c r="D37" s="38">
        <v>54.353312581165127</v>
      </c>
      <c r="E37" s="112">
        <v>68.876576015215306</v>
      </c>
      <c r="F37" s="10">
        <v>90.546950620983409</v>
      </c>
      <c r="G37" s="113">
        <v>5.5245877069301432</v>
      </c>
    </row>
    <row r="38" spans="1:15" ht="18.75">
      <c r="A38" s="178"/>
      <c r="B38" s="21" t="s">
        <v>20</v>
      </c>
      <c r="C38" s="135">
        <v>1.0480836000000053</v>
      </c>
      <c r="D38" s="10">
        <v>15.930879399169454</v>
      </c>
      <c r="E38" s="11">
        <v>-7.2867238109751895</v>
      </c>
      <c r="F38" s="10">
        <v>-2.2427716802890281</v>
      </c>
      <c r="G38" s="115">
        <v>-0.82410032240658371</v>
      </c>
    </row>
    <row r="39" spans="1:15" ht="16.5" thickBot="1">
      <c r="A39" s="179"/>
      <c r="B39" s="25" t="s">
        <v>21</v>
      </c>
      <c r="C39" s="149">
        <v>4.3779624266982223E-4</v>
      </c>
      <c r="D39" s="48">
        <v>0.32976755547548176</v>
      </c>
      <c r="E39" s="121">
        <v>5.2896957737414547E-4</v>
      </c>
      <c r="F39" s="43">
        <v>0.18891813966527737</v>
      </c>
      <c r="G39" s="122">
        <v>2.2076245372793542E-6</v>
      </c>
    </row>
    <row r="40" spans="1:15" ht="18.75">
      <c r="A40" s="180" t="s">
        <v>7</v>
      </c>
      <c r="B40" s="20" t="s">
        <v>16</v>
      </c>
      <c r="C40" s="144">
        <v>23.246067798463343</v>
      </c>
      <c r="D40" s="45">
        <v>43.351666666923286</v>
      </c>
      <c r="E40" s="44">
        <v>92.526031480711509</v>
      </c>
      <c r="F40" s="44">
        <v>89.323159637369642</v>
      </c>
      <c r="G40" s="145">
        <v>5.7616370588480663</v>
      </c>
    </row>
    <row r="41" spans="1:15" ht="18.75">
      <c r="A41" s="178"/>
      <c r="B41" s="21" t="s">
        <v>17</v>
      </c>
      <c r="C41" s="131">
        <v>0.92127642246563601</v>
      </c>
      <c r="D41" s="33">
        <v>-0.2025336786621976</v>
      </c>
      <c r="E41" s="34">
        <v>-8.7335217633942239E-2</v>
      </c>
      <c r="F41" s="34">
        <v>-8.7335217633942239E-2</v>
      </c>
      <c r="G41" s="132">
        <v>-0.28882804052114885</v>
      </c>
    </row>
    <row r="42" spans="1:15">
      <c r="A42" s="178"/>
      <c r="B42" s="22" t="s">
        <v>18</v>
      </c>
      <c r="C42" s="133">
        <v>7.2929500667029802E-3</v>
      </c>
      <c r="D42" s="37">
        <v>0.97536745744869724</v>
      </c>
      <c r="E42" s="49">
        <v>0.97249459641400382</v>
      </c>
      <c r="F42" s="49">
        <v>0.97249459641400382</v>
      </c>
      <c r="G42" s="134">
        <v>0.11133266182454671</v>
      </c>
    </row>
    <row r="43" spans="1:15" ht="18.75">
      <c r="A43" s="178"/>
      <c r="B43" s="23" t="s">
        <v>19</v>
      </c>
      <c r="C43" s="78">
        <v>24.096001365130018</v>
      </c>
      <c r="D43" s="38">
        <v>48.059577850213678</v>
      </c>
      <c r="E43" s="112">
        <v>91.536239053241246</v>
      </c>
      <c r="F43" s="10">
        <v>88.554830620528463</v>
      </c>
      <c r="G43" s="113">
        <v>5.6404416212929158</v>
      </c>
    </row>
    <row r="44" spans="1:15" ht="18.75">
      <c r="A44" s="178"/>
      <c r="B44" s="21" t="s">
        <v>20</v>
      </c>
      <c r="C44" s="135">
        <v>0.84993356666667452</v>
      </c>
      <c r="D44" s="10">
        <v>10.859815885423528</v>
      </c>
      <c r="E44" s="11">
        <v>-0.98979242747026319</v>
      </c>
      <c r="F44" s="10">
        <v>-0.8601677548806077</v>
      </c>
      <c r="G44" s="137">
        <v>-0.1211954375551505</v>
      </c>
    </row>
    <row r="45" spans="1:15" ht="16.5" thickBot="1">
      <c r="A45" s="179"/>
      <c r="B45" s="25" t="s">
        <v>21</v>
      </c>
      <c r="C45" s="149">
        <v>1.6164366980265778E-2</v>
      </c>
      <c r="D45" s="48">
        <v>0.62166447294745786</v>
      </c>
      <c r="E45" s="121">
        <v>0.26360847776843099</v>
      </c>
      <c r="F45" s="43">
        <v>0.67857748152602526</v>
      </c>
      <c r="G45" s="143">
        <v>0.4007956240303826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22.936570336071433</v>
      </c>
      <c r="E49" s="100">
        <f>C5</f>
        <v>9.5947522558884196E-2</v>
      </c>
      <c r="F49" s="97">
        <f>C6</f>
        <v>7.2946600037296559E-5</v>
      </c>
      <c r="G49" s="100">
        <f>C7</f>
        <v>23.976271486071433</v>
      </c>
      <c r="H49" s="100">
        <f>C8</f>
        <v>1.0397011499999991</v>
      </c>
      <c r="I49" s="97">
        <f>C9</f>
        <v>3.1012246098893596E-3</v>
      </c>
    </row>
    <row r="50" spans="1:9">
      <c r="A50" s="65">
        <v>26</v>
      </c>
      <c r="B50" s="98">
        <v>13</v>
      </c>
      <c r="C50" s="99">
        <v>52</v>
      </c>
      <c r="D50" s="100">
        <f>D4</f>
        <v>79.439759262822307</v>
      </c>
      <c r="E50" s="100">
        <f>D5</f>
        <v>0.89147819134762718</v>
      </c>
      <c r="F50" s="97">
        <f>D6</f>
        <v>0.92465306509098344</v>
      </c>
      <c r="G50" s="100">
        <f>D7</f>
        <v>80.651238558094207</v>
      </c>
      <c r="H50" s="100">
        <f>D8</f>
        <v>1.5250289106035559</v>
      </c>
      <c r="I50" s="97">
        <f>D9</f>
        <v>0.92206036366578437</v>
      </c>
    </row>
    <row r="51" spans="1:9">
      <c r="A51" s="65">
        <v>26</v>
      </c>
      <c r="B51" s="98">
        <v>13</v>
      </c>
      <c r="C51" s="99">
        <v>54</v>
      </c>
      <c r="D51" s="100">
        <f>E4</f>
        <v>61.453960780959598</v>
      </c>
      <c r="E51" s="100">
        <f>E5</f>
        <v>-0.69861521892676182</v>
      </c>
      <c r="F51" s="97">
        <f>E6</f>
        <v>0.54036766865096131</v>
      </c>
      <c r="G51" s="100">
        <f>E7</f>
        <v>50.185033705521953</v>
      </c>
      <c r="H51" s="100">
        <f>E8</f>
        <v>-11.268927075437645</v>
      </c>
      <c r="I51" s="97">
        <f>E9</f>
        <v>2.5964008651869984E-3</v>
      </c>
    </row>
    <row r="52" spans="1:9">
      <c r="A52" s="65">
        <v>26</v>
      </c>
      <c r="B52" s="98">
        <v>13</v>
      </c>
      <c r="C52" s="101">
        <v>55</v>
      </c>
      <c r="D52" s="100">
        <f>F4</f>
        <v>93.715776676442573</v>
      </c>
      <c r="E52" s="100">
        <f>F5</f>
        <v>-0.69861521892676182</v>
      </c>
      <c r="F52" s="97">
        <f>F6</f>
        <v>0.54036766865096131</v>
      </c>
      <c r="G52" s="100">
        <f>F7</f>
        <v>92.973277611503605</v>
      </c>
      <c r="H52" s="100">
        <f>F8</f>
        <v>-0.79228822645569363</v>
      </c>
      <c r="I52" s="97">
        <f>F9</f>
        <v>0.80905313898473086</v>
      </c>
    </row>
    <row r="53" spans="1:9">
      <c r="A53" s="65">
        <v>26</v>
      </c>
      <c r="B53" s="98">
        <v>13</v>
      </c>
      <c r="C53" s="101">
        <v>56</v>
      </c>
      <c r="D53" s="100">
        <f>G4</f>
        <v>4.0446794031436886</v>
      </c>
      <c r="E53" s="100">
        <f>G5</f>
        <v>-0.7572747601632317</v>
      </c>
      <c r="F53" s="97">
        <f>G6</f>
        <v>1.2878421515821867E-4</v>
      </c>
      <c r="G53" s="100">
        <f>G7</f>
        <v>3.3529273030794835</v>
      </c>
      <c r="H53" s="100">
        <f>G8</f>
        <v>-0.69175210006420507</v>
      </c>
      <c r="I53" s="97">
        <f>G9</f>
        <v>3.2807746559680384E-2</v>
      </c>
    </row>
    <row r="54" spans="1:9">
      <c r="A54" s="65">
        <v>26</v>
      </c>
      <c r="B54" s="98">
        <v>14</v>
      </c>
      <c r="C54" s="99">
        <v>51</v>
      </c>
      <c r="D54" s="100">
        <f>C10</f>
        <v>13.967497957450172</v>
      </c>
      <c r="E54" s="100">
        <f>C11</f>
        <v>0.38669681526020161</v>
      </c>
      <c r="F54" s="97">
        <f>C12</f>
        <v>0.12228504660683215</v>
      </c>
      <c r="G54" s="100">
        <f>C13</f>
        <v>15.650122074116839</v>
      </c>
      <c r="H54" s="100">
        <f>C14</f>
        <v>1.6826241166666662</v>
      </c>
      <c r="I54" s="97">
        <f>C15</f>
        <v>6.3834711360891674E-6</v>
      </c>
    </row>
    <row r="55" spans="1:9">
      <c r="A55" s="65">
        <v>26</v>
      </c>
      <c r="B55" s="98">
        <v>14</v>
      </c>
      <c r="C55" s="99">
        <v>52</v>
      </c>
      <c r="D55" s="100">
        <f>D10</f>
        <v>68.772518531771169</v>
      </c>
      <c r="E55" s="100">
        <f>D11</f>
        <v>11.519901150349714</v>
      </c>
      <c r="F55" s="97">
        <f>D12</f>
        <v>6.8410625461319916E-2</v>
      </c>
      <c r="G55" s="100">
        <f>D13</f>
        <v>66.77913561071378</v>
      </c>
      <c r="H55" s="100">
        <f>D14</f>
        <v>-2.8985166802296147</v>
      </c>
      <c r="I55" s="97">
        <f>D15</f>
        <v>0.77856645329364549</v>
      </c>
    </row>
    <row r="56" spans="1:9">
      <c r="A56" s="65">
        <v>26</v>
      </c>
      <c r="B56" s="98">
        <v>14</v>
      </c>
      <c r="C56" s="99">
        <v>54</v>
      </c>
      <c r="D56" s="100">
        <f>E10</f>
        <v>95.815981274821254</v>
      </c>
      <c r="E56" s="100">
        <f>E11</f>
        <v>3.9284088653862748</v>
      </c>
      <c r="F56" s="97">
        <f>E12</f>
        <v>9.6366406286289674E-2</v>
      </c>
      <c r="G56" s="100">
        <f>E13</f>
        <v>85.460622276907685</v>
      </c>
      <c r="H56" s="100">
        <f>E14</f>
        <v>-10.355358997913569</v>
      </c>
      <c r="I56" s="97">
        <f>E15</f>
        <v>9.8286189931999314E-5</v>
      </c>
    </row>
    <row r="57" spans="1:9">
      <c r="A57" s="65">
        <v>26</v>
      </c>
      <c r="B57" s="98">
        <v>14</v>
      </c>
      <c r="C57" s="101">
        <v>55</v>
      </c>
      <c r="D57" s="100">
        <f>F10</f>
        <v>81.643514926929555</v>
      </c>
      <c r="E57" s="100">
        <f>F11</f>
        <v>3.9284088653862748</v>
      </c>
      <c r="F57" s="97">
        <f>F12</f>
        <v>9.6366406286289674E-2</v>
      </c>
      <c r="G57" s="100">
        <f>F13</f>
        <v>80.698645535256205</v>
      </c>
      <c r="H57" s="100">
        <f>F14</f>
        <v>-1.1573110154786985</v>
      </c>
      <c r="I57" s="97">
        <f>F15</f>
        <v>0.72565273347951598</v>
      </c>
    </row>
    <row r="58" spans="1:9">
      <c r="A58" s="65">
        <v>26</v>
      </c>
      <c r="B58" s="98">
        <v>14</v>
      </c>
      <c r="C58" s="101">
        <v>56</v>
      </c>
      <c r="D58" s="100">
        <f>G10</f>
        <v>5.4876794894710992</v>
      </c>
      <c r="E58" s="100">
        <f>G11</f>
        <v>0.18080921805581188</v>
      </c>
      <c r="F58" s="97">
        <f>G12</f>
        <v>0.3325732056971934</v>
      </c>
      <c r="G58" s="100">
        <f>G13</f>
        <v>4.8845968676827916</v>
      </c>
      <c r="H58" s="100">
        <f>G14</f>
        <v>-0.60308262178830763</v>
      </c>
      <c r="I58" s="97">
        <f>G15</f>
        <v>1.4322079859367154E-2</v>
      </c>
    </row>
    <row r="59" spans="1:9">
      <c r="A59" s="65">
        <v>26</v>
      </c>
      <c r="B59" s="98">
        <v>15</v>
      </c>
      <c r="C59" s="99">
        <v>51</v>
      </c>
      <c r="D59" s="100">
        <f>C16</f>
        <v>4.4877398604523835</v>
      </c>
      <c r="E59" s="100">
        <f>C17</f>
        <v>1.270402919339215</v>
      </c>
      <c r="F59" s="97">
        <f>C18</f>
        <v>1.5852737139549378E-2</v>
      </c>
      <c r="G59" s="100">
        <f>C19</f>
        <v>5.5538012604523868</v>
      </c>
      <c r="H59" s="100">
        <f>C20</f>
        <v>1.0660614000000033</v>
      </c>
      <c r="I59" s="97">
        <f>C21</f>
        <v>1.3081262147198239E-2</v>
      </c>
    </row>
    <row r="60" spans="1:9">
      <c r="A60" s="65">
        <v>26</v>
      </c>
      <c r="B60" s="98">
        <v>15</v>
      </c>
      <c r="C60" s="99">
        <v>52</v>
      </c>
      <c r="D60" s="100">
        <f>D16</f>
        <v>38.891653433206777</v>
      </c>
      <c r="E60" s="100">
        <f>D17</f>
        <v>0.29558397323820834</v>
      </c>
      <c r="F60" s="97">
        <f>D18</f>
        <v>0.94969791280338578</v>
      </c>
      <c r="G60" s="100">
        <f>D19</f>
        <v>42.344400431492318</v>
      </c>
      <c r="H60" s="100">
        <f>D20</f>
        <v>8.8778611694032161</v>
      </c>
      <c r="I60" s="97">
        <f>D21</f>
        <v>0.53621486905716997</v>
      </c>
    </row>
    <row r="61" spans="1:9">
      <c r="A61" s="65">
        <v>26</v>
      </c>
      <c r="B61" s="98">
        <v>15</v>
      </c>
      <c r="C61" s="99">
        <v>54</v>
      </c>
      <c r="D61" s="100">
        <f>E16</f>
        <v>92.631843773561187</v>
      </c>
      <c r="E61" s="100">
        <f>E17</f>
        <v>-1.5866979832778796</v>
      </c>
      <c r="F61" s="97">
        <f>E18</f>
        <v>0.55022443528357523</v>
      </c>
      <c r="G61" s="100">
        <f>E19</f>
        <v>84.135850045006094</v>
      </c>
      <c r="H61" s="100">
        <f>E20</f>
        <v>-8.4959937285550922</v>
      </c>
      <c r="I61" s="97">
        <f>E21</f>
        <v>1.8207416471336006E-2</v>
      </c>
    </row>
    <row r="62" spans="1:9">
      <c r="A62" s="65">
        <v>26</v>
      </c>
      <c r="B62" s="98">
        <v>15</v>
      </c>
      <c r="C62" s="101">
        <v>55</v>
      </c>
      <c r="D62" s="102">
        <f>F16</f>
        <v>69.578417258037319</v>
      </c>
      <c r="E62" s="100">
        <f>F17</f>
        <v>-1.5866979832778796</v>
      </c>
      <c r="F62" s="97">
        <f>F18</f>
        <v>0.55022443528357523</v>
      </c>
      <c r="G62" s="100">
        <f>F19</f>
        <v>71.274358759202258</v>
      </c>
      <c r="H62" s="100">
        <f>F20</f>
        <v>2.4374534058103032</v>
      </c>
      <c r="I62" s="97">
        <f>F21</f>
        <v>0.63296118102945642</v>
      </c>
    </row>
    <row r="63" spans="1:9">
      <c r="A63" s="65">
        <v>26</v>
      </c>
      <c r="B63" s="98">
        <v>15</v>
      </c>
      <c r="C63" s="101">
        <v>56</v>
      </c>
      <c r="D63" s="102">
        <f>G16</f>
        <v>3.2486566053153578</v>
      </c>
      <c r="E63" s="100">
        <f>G17</f>
        <v>6.1787127727940865E-2</v>
      </c>
      <c r="F63" s="97">
        <f>G18</f>
        <v>0.7755013706011461</v>
      </c>
      <c r="G63" s="100">
        <f>G19</f>
        <v>2.9851944336250282</v>
      </c>
      <c r="H63" s="100">
        <f>G20</f>
        <v>-0.26346217169032959</v>
      </c>
      <c r="I63" s="97">
        <f>G21</f>
        <v>0.18148715035903984</v>
      </c>
    </row>
    <row r="64" spans="1:9">
      <c r="A64" s="65">
        <v>26</v>
      </c>
      <c r="B64" s="98">
        <v>16</v>
      </c>
      <c r="C64" s="99">
        <v>51</v>
      </c>
      <c r="D64" s="100">
        <f>C22</f>
        <v>-0.79060497347554559</v>
      </c>
      <c r="E64" s="103">
        <f>C23</f>
        <v>0.30194437476638281</v>
      </c>
      <c r="F64" s="104">
        <f>C24</f>
        <v>0.46377427644862779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95.209907411846018</v>
      </c>
      <c r="E65" s="103">
        <f>D23</f>
        <v>8.2536905272324557</v>
      </c>
      <c r="F65" s="104">
        <f>D24</f>
        <v>0.29399996456277955</v>
      </c>
      <c r="G65" s="100">
        <f>D25</f>
        <v>110.96919491172956</v>
      </c>
      <c r="H65" s="100">
        <f>D26</f>
        <v>16.552150850976215</v>
      </c>
      <c r="I65" s="97">
        <f>D27</f>
        <v>4.8812157267633757E-2</v>
      </c>
    </row>
    <row r="66" spans="1:9">
      <c r="A66" s="65">
        <v>26</v>
      </c>
      <c r="B66" s="98">
        <v>16</v>
      </c>
      <c r="C66" s="99">
        <v>54</v>
      </c>
      <c r="D66" s="100">
        <f>E22</f>
        <v>95.689099004590673</v>
      </c>
      <c r="E66" s="103">
        <f>E23</f>
        <v>-0.15795046239488406</v>
      </c>
      <c r="F66" s="104">
        <f>E24</f>
        <v>0.8846376839749488</v>
      </c>
      <c r="G66" s="100">
        <f>E25</f>
        <v>83.646483078290601</v>
      </c>
      <c r="H66" s="100">
        <f>E26</f>
        <v>-12.042615926300073</v>
      </c>
      <c r="I66" s="97">
        <f>E27</f>
        <v>8.0095618231364033E-4</v>
      </c>
    </row>
    <row r="67" spans="1:9">
      <c r="A67" s="65">
        <v>26</v>
      </c>
      <c r="B67" s="98">
        <v>16</v>
      </c>
      <c r="C67" s="101">
        <v>55</v>
      </c>
      <c r="D67" s="105">
        <f>F22</f>
        <v>93.818633852407771</v>
      </c>
      <c r="E67" s="106">
        <f>F23</f>
        <v>-0.15795046239488406</v>
      </c>
      <c r="F67" s="107">
        <f>F24</f>
        <v>0.8846376839749488</v>
      </c>
      <c r="G67" s="100">
        <f>F25</f>
        <v>94.441723673414629</v>
      </c>
      <c r="H67" s="100">
        <f>F26</f>
        <v>0.66414292707254707</v>
      </c>
      <c r="I67" s="97">
        <f>F27</f>
        <v>0.45773007232080598</v>
      </c>
    </row>
    <row r="68" spans="1:9">
      <c r="A68" s="65">
        <v>26</v>
      </c>
      <c r="B68" s="98">
        <v>16</v>
      </c>
      <c r="C68" s="101">
        <v>56</v>
      </c>
      <c r="D68" s="108">
        <f>G22</f>
        <v>26.02394241123072</v>
      </c>
      <c r="E68" s="100">
        <f>G23</f>
        <v>0.11054614902401638</v>
      </c>
      <c r="F68" s="97">
        <f>G24</f>
        <v>0.79417809926279204</v>
      </c>
      <c r="G68" s="100">
        <f>G25</f>
        <v>22.741655189973461</v>
      </c>
      <c r="H68" s="100">
        <f>G23</f>
        <v>0.11054614902401638</v>
      </c>
      <c r="I68" s="97">
        <f>G24</f>
        <v>0.79417809926279204</v>
      </c>
    </row>
    <row r="69" spans="1:9">
      <c r="A69" s="65">
        <v>26</v>
      </c>
      <c r="B69" s="98">
        <v>17</v>
      </c>
      <c r="C69" s="99">
        <v>51</v>
      </c>
      <c r="D69" s="100">
        <f>C28</f>
        <v>9.6992570021314517</v>
      </c>
      <c r="E69" s="103">
        <f>C29</f>
        <v>0.63971708849321773</v>
      </c>
      <c r="F69" s="104">
        <f>C30</f>
        <v>1.3624344528738215E-2</v>
      </c>
      <c r="G69" s="100">
        <f>C31</f>
        <v>10.524272679909229</v>
      </c>
      <c r="H69" s="100">
        <f>C32</f>
        <v>0.82501567777777751</v>
      </c>
      <c r="I69" s="97">
        <f>C33</f>
        <v>9.6257079712966693E-5</v>
      </c>
    </row>
    <row r="70" spans="1:9">
      <c r="A70" s="65">
        <v>26</v>
      </c>
      <c r="B70" s="98">
        <v>17</v>
      </c>
      <c r="C70" s="99">
        <v>52</v>
      </c>
      <c r="D70" s="100">
        <f>D28</f>
        <v>99.113277762387369</v>
      </c>
      <c r="E70" s="103">
        <f>D29</f>
        <v>2.3502521065350339</v>
      </c>
      <c r="F70" s="104">
        <f>D30</f>
        <v>0.74738964514735073</v>
      </c>
      <c r="G70" s="100">
        <f>D31</f>
        <v>104.05528232818219</v>
      </c>
      <c r="H70" s="100">
        <f>D32</f>
        <v>4.9862184738181092</v>
      </c>
      <c r="I70" s="97">
        <f>D33</f>
        <v>0.47266340817207553</v>
      </c>
    </row>
    <row r="71" spans="1:9">
      <c r="A71" s="65">
        <v>26</v>
      </c>
      <c r="B71" s="98">
        <v>17</v>
      </c>
      <c r="C71" s="99">
        <v>54</v>
      </c>
      <c r="D71" s="100">
        <f>E28</f>
        <v>91.988352863351551</v>
      </c>
      <c r="E71" s="103">
        <f>E29</f>
        <v>-1.6686980780816457E-2</v>
      </c>
      <c r="F71" s="104">
        <f>E30</f>
        <v>0.9845647944208602</v>
      </c>
      <c r="G71" s="100">
        <f>E31</f>
        <v>84.523417919013056</v>
      </c>
      <c r="H71" s="100">
        <f>E32</f>
        <v>-7.4649349443384949</v>
      </c>
      <c r="I71" s="97">
        <f>E33</f>
        <v>8.3002600044096349E-5</v>
      </c>
    </row>
    <row r="72" spans="1:9">
      <c r="A72" s="65">
        <v>26</v>
      </c>
      <c r="B72" s="98">
        <v>17</v>
      </c>
      <c r="C72" s="101">
        <v>55</v>
      </c>
      <c r="D72" s="105">
        <f>F28</f>
        <v>95.280079698153287</v>
      </c>
      <c r="E72" s="106">
        <f>F29</f>
        <v>-1.6686980780816457E-2</v>
      </c>
      <c r="F72" s="107">
        <f>F30</f>
        <v>0.9845647944208602</v>
      </c>
      <c r="G72" s="100">
        <f>F31</f>
        <v>95.548449865598116</v>
      </c>
      <c r="H72" s="100">
        <f>F32</f>
        <v>0.28166450772818091</v>
      </c>
      <c r="I72" s="97">
        <f>F33</f>
        <v>0.77279888209785574</v>
      </c>
    </row>
    <row r="73" spans="1:9">
      <c r="A73" s="65">
        <v>26</v>
      </c>
      <c r="B73" s="98">
        <v>17</v>
      </c>
      <c r="C73" s="101">
        <v>56</v>
      </c>
      <c r="D73" s="108">
        <f>G28</f>
        <v>31.581904154216023</v>
      </c>
      <c r="E73" s="100">
        <f>G29</f>
        <v>-0.89727623955552926</v>
      </c>
      <c r="F73" s="97">
        <f>G30</f>
        <v>0.12669699405280899</v>
      </c>
      <c r="G73" s="100">
        <f>G31</f>
        <v>29.034993081880113</v>
      </c>
      <c r="H73" s="100">
        <f>G32</f>
        <v>-2.5469110723359094</v>
      </c>
      <c r="I73" s="97">
        <f>G33</f>
        <v>5.673857980018972E-4</v>
      </c>
    </row>
    <row r="74" spans="1:9">
      <c r="A74" s="65">
        <v>26</v>
      </c>
      <c r="B74" s="98">
        <v>18</v>
      </c>
      <c r="C74" s="99">
        <v>51</v>
      </c>
      <c r="D74" s="100">
        <f>C34</f>
        <v>20.579015430285612</v>
      </c>
      <c r="E74" s="103">
        <f>C35</f>
        <v>0.65118423459242769</v>
      </c>
      <c r="F74" s="104">
        <f>C36</f>
        <v>2.6511196220125505E-2</v>
      </c>
      <c r="G74" s="100">
        <f>C37</f>
        <v>21.627099030285617</v>
      </c>
      <c r="H74" s="100">
        <f>C38</f>
        <v>1.0480836000000053</v>
      </c>
      <c r="I74" s="97">
        <f>C39</f>
        <v>4.3779624266982223E-4</v>
      </c>
    </row>
    <row r="75" spans="1:9">
      <c r="A75" s="65">
        <v>26</v>
      </c>
      <c r="B75" s="98">
        <v>18</v>
      </c>
      <c r="C75" s="99">
        <v>52</v>
      </c>
      <c r="D75" s="100">
        <f>D34</f>
        <v>46.884240732805587</v>
      </c>
      <c r="E75" s="103">
        <f>D35</f>
        <v>3.1733864642560845</v>
      </c>
      <c r="F75" s="104">
        <f>D36</f>
        <v>0.40005740713224569</v>
      </c>
      <c r="G75" s="100">
        <f>D37</f>
        <v>54.353312581165127</v>
      </c>
      <c r="H75" s="100">
        <f>D38</f>
        <v>15.930879399169454</v>
      </c>
      <c r="I75" s="97">
        <f>D39</f>
        <v>0.32976755547548176</v>
      </c>
    </row>
    <row r="76" spans="1:9">
      <c r="A76" s="65">
        <v>26</v>
      </c>
      <c r="B76" s="98">
        <v>18</v>
      </c>
      <c r="C76" s="99">
        <v>54</v>
      </c>
      <c r="D76" s="100">
        <f>E34</f>
        <v>76.163299826190496</v>
      </c>
      <c r="E76" s="103">
        <f>E35</f>
        <v>-0.53567535851370618</v>
      </c>
      <c r="F76" s="104">
        <f>E36</f>
        <v>0.64992763349950122</v>
      </c>
      <c r="G76" s="100">
        <f>E37</f>
        <v>68.876576015215306</v>
      </c>
      <c r="H76" s="100">
        <f>E38</f>
        <v>-7.2867238109751895</v>
      </c>
      <c r="I76" s="97">
        <f>E39</f>
        <v>5.2896957737414547E-4</v>
      </c>
    </row>
    <row r="77" spans="1:9">
      <c r="A77" s="65">
        <v>26</v>
      </c>
      <c r="B77" s="98">
        <v>18</v>
      </c>
      <c r="C77" s="101">
        <v>55</v>
      </c>
      <c r="D77" s="105">
        <f>F34</f>
        <v>92.624302240703216</v>
      </c>
      <c r="E77" s="106">
        <f>F35</f>
        <v>-0.53567535851370618</v>
      </c>
      <c r="F77" s="107">
        <f>F36</f>
        <v>0.64992763349950122</v>
      </c>
      <c r="G77" s="100">
        <f>F37</f>
        <v>90.546950620983409</v>
      </c>
      <c r="H77" s="100">
        <f>F38</f>
        <v>-2.2427716802890281</v>
      </c>
      <c r="I77" s="97">
        <f>F39</f>
        <v>0.18891813966527737</v>
      </c>
    </row>
    <row r="78" spans="1:9">
      <c r="A78" s="65">
        <v>26</v>
      </c>
      <c r="B78" s="98">
        <v>18</v>
      </c>
      <c r="C78" s="101">
        <v>56</v>
      </c>
      <c r="D78" s="108">
        <f>G34</f>
        <v>6.3486880293367269</v>
      </c>
      <c r="E78" s="100">
        <f>G35</f>
        <v>-0.62435253854536432</v>
      </c>
      <c r="F78" s="97">
        <f>G36</f>
        <v>2.4040023613877252E-2</v>
      </c>
      <c r="G78" s="100">
        <f>G37</f>
        <v>5.5245877069301432</v>
      </c>
      <c r="H78" s="100">
        <f>G38</f>
        <v>-0.82410032240658371</v>
      </c>
      <c r="I78" s="97">
        <f>G39</f>
        <v>2.2076245372793542E-6</v>
      </c>
    </row>
    <row r="79" spans="1:9">
      <c r="A79" s="65">
        <v>26</v>
      </c>
      <c r="B79" s="98">
        <v>19</v>
      </c>
      <c r="C79" s="99">
        <v>51</v>
      </c>
      <c r="D79" s="100">
        <f>C40</f>
        <v>23.246067798463343</v>
      </c>
      <c r="E79" s="103">
        <f>C41</f>
        <v>0.92127642246563601</v>
      </c>
      <c r="F79" s="104">
        <f>C42</f>
        <v>7.2929500667029802E-3</v>
      </c>
      <c r="G79" s="100">
        <f>C43</f>
        <v>24.096001365130018</v>
      </c>
      <c r="H79" s="100">
        <f>C44</f>
        <v>0.84993356666667452</v>
      </c>
      <c r="I79" s="97">
        <f>C45</f>
        <v>1.6164366980265778E-2</v>
      </c>
    </row>
    <row r="80" spans="1:9">
      <c r="A80" s="65">
        <v>26</v>
      </c>
      <c r="B80" s="98">
        <v>19</v>
      </c>
      <c r="C80" s="99">
        <v>52</v>
      </c>
      <c r="D80" s="100">
        <f>D40</f>
        <v>43.351666666923286</v>
      </c>
      <c r="E80" s="100">
        <f>D41</f>
        <v>-0.2025336786621976</v>
      </c>
      <c r="F80" s="104">
        <f>D42</f>
        <v>0.97536745744869724</v>
      </c>
      <c r="G80" s="100">
        <f>D43</f>
        <v>48.059577850213678</v>
      </c>
      <c r="H80" s="100">
        <f>D44</f>
        <v>10.859815885423528</v>
      </c>
      <c r="I80" s="97">
        <f>D45</f>
        <v>0.62166447294745786</v>
      </c>
    </row>
    <row r="81" spans="1:9">
      <c r="A81" s="65">
        <v>26</v>
      </c>
      <c r="B81" s="98">
        <v>19</v>
      </c>
      <c r="C81" s="99">
        <v>54</v>
      </c>
      <c r="D81" s="100">
        <f>E40</f>
        <v>92.526031480711509</v>
      </c>
      <c r="E81" s="103">
        <f>E41</f>
        <v>-8.7335217633942239E-2</v>
      </c>
      <c r="F81" s="104">
        <f>E42</f>
        <v>0.97249459641400382</v>
      </c>
      <c r="G81" s="100">
        <f>E43</f>
        <v>91.536239053241246</v>
      </c>
      <c r="H81" s="100">
        <f>E44</f>
        <v>-0.98979242747026319</v>
      </c>
      <c r="I81" s="97">
        <f>E45</f>
        <v>0.26360847776843099</v>
      </c>
    </row>
    <row r="82" spans="1:9">
      <c r="A82" s="65">
        <v>26</v>
      </c>
      <c r="B82" s="98">
        <v>19</v>
      </c>
      <c r="C82" s="101">
        <v>55</v>
      </c>
      <c r="D82" s="105">
        <f>F40</f>
        <v>89.323159637369642</v>
      </c>
      <c r="E82" s="106">
        <f>F41</f>
        <v>-8.7335217633942239E-2</v>
      </c>
      <c r="F82" s="107">
        <f>F42</f>
        <v>0.97249459641400382</v>
      </c>
      <c r="G82" s="100">
        <f>F43</f>
        <v>88.554830620528463</v>
      </c>
      <c r="H82" s="100">
        <f>F44</f>
        <v>-0.8601677548806077</v>
      </c>
      <c r="I82" s="97">
        <f>F45</f>
        <v>0.67857748152602526</v>
      </c>
    </row>
    <row r="83" spans="1:9">
      <c r="A83" s="65">
        <v>26</v>
      </c>
      <c r="B83" s="98">
        <v>19</v>
      </c>
      <c r="C83" s="101">
        <v>56</v>
      </c>
      <c r="D83" s="108">
        <f>G40</f>
        <v>5.7616370588480663</v>
      </c>
      <c r="E83" s="106">
        <f>G41</f>
        <v>-0.28882804052114885</v>
      </c>
      <c r="F83" s="109">
        <f>G42</f>
        <v>0.11133266182454671</v>
      </c>
      <c r="G83" s="100">
        <f>G43</f>
        <v>5.6404416212929158</v>
      </c>
      <c r="H83" s="100">
        <f>G44</f>
        <v>-0.1211954375551505</v>
      </c>
      <c r="I83" s="97">
        <f>G45</f>
        <v>0.4007956240303826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3"/>
  <dimension ref="A1:O83"/>
  <sheetViews>
    <sheetView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1" width="9.28515625" style="27" bestFit="1" customWidth="1"/>
    <col min="12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18.751236559057748</v>
      </c>
      <c r="D4" s="31">
        <v>177.88400000000001</v>
      </c>
      <c r="E4" s="30">
        <v>96.443643966645865</v>
      </c>
      <c r="F4" s="30">
        <v>95.089789526791961</v>
      </c>
      <c r="G4" s="130">
        <v>6.4140737544732627</v>
      </c>
    </row>
    <row r="5" spans="1:8" ht="18.75">
      <c r="A5" s="178"/>
      <c r="B5" s="21" t="s">
        <v>17</v>
      </c>
      <c r="C5" s="131">
        <v>0.90578707486875398</v>
      </c>
      <c r="D5" s="33">
        <v>13.083604004449388</v>
      </c>
      <c r="E5" s="34">
        <v>-1.2685144744036849</v>
      </c>
      <c r="F5" s="34">
        <v>-1.2685144744036849</v>
      </c>
      <c r="G5" s="132">
        <v>-0.29510535221832845</v>
      </c>
    </row>
    <row r="6" spans="1:8">
      <c r="A6" s="178"/>
      <c r="B6" s="22" t="s">
        <v>18</v>
      </c>
      <c r="C6" s="133">
        <v>6.4232651779618752E-5</v>
      </c>
      <c r="D6" s="37">
        <v>0.38156877992608307</v>
      </c>
      <c r="E6" s="37">
        <v>0.50436271968859825</v>
      </c>
      <c r="F6" s="37">
        <v>0.50436271968859825</v>
      </c>
      <c r="G6" s="134">
        <v>2.7518942158110453E-2</v>
      </c>
    </row>
    <row r="7" spans="1:8" ht="18.75">
      <c r="A7" s="178"/>
      <c r="B7" s="23" t="s">
        <v>19</v>
      </c>
      <c r="C7" s="78">
        <v>19.67657304239108</v>
      </c>
      <c r="D7" s="38">
        <v>169.67803799099246</v>
      </c>
      <c r="E7" s="112">
        <v>97.790743538546494</v>
      </c>
      <c r="F7" s="10">
        <v>96.263636325937838</v>
      </c>
      <c r="G7" s="113">
        <v>6.5777261983436706</v>
      </c>
    </row>
    <row r="8" spans="1:8" ht="18.75">
      <c r="A8" s="178"/>
      <c r="B8" s="21" t="s">
        <v>20</v>
      </c>
      <c r="C8" s="135">
        <v>0.92533648333333218</v>
      </c>
      <c r="D8" s="40">
        <v>-4.6130973044273507</v>
      </c>
      <c r="E8" s="136">
        <v>1.347099571900614</v>
      </c>
      <c r="F8" s="10">
        <v>1.2344614547865163</v>
      </c>
      <c r="G8" s="137">
        <v>0.16365244387040789</v>
      </c>
    </row>
    <row r="9" spans="1:8" ht="16.5" thickBot="1">
      <c r="A9" s="179"/>
      <c r="B9" s="25" t="s">
        <v>21</v>
      </c>
      <c r="C9" s="146">
        <v>2.4055112266528752E-3</v>
      </c>
      <c r="D9" s="139">
        <v>0.59978061471158395</v>
      </c>
      <c r="E9" s="147">
        <v>0.18863929129521839</v>
      </c>
      <c r="F9" s="47">
        <v>0.41474054431348151</v>
      </c>
      <c r="G9" s="141">
        <v>0.19667592568948611</v>
      </c>
    </row>
    <row r="10" spans="1:8" ht="18.75">
      <c r="A10" s="180" t="s">
        <v>2</v>
      </c>
      <c r="B10" s="20" t="s">
        <v>16</v>
      </c>
      <c r="C10" s="129">
        <v>10.748524731561968</v>
      </c>
      <c r="D10" s="31">
        <v>97.375333333333359</v>
      </c>
      <c r="E10" s="30">
        <v>94.243907699023623</v>
      </c>
      <c r="F10" s="30">
        <v>89.342411484242618</v>
      </c>
      <c r="G10" s="130">
        <v>5.8887117108163833</v>
      </c>
    </row>
    <row r="11" spans="1:8" ht="18.75">
      <c r="A11" s="178"/>
      <c r="B11" s="21" t="s">
        <v>17</v>
      </c>
      <c r="C11" s="131">
        <v>3.564165661270622E-2</v>
      </c>
      <c r="D11" s="33">
        <v>13.736462736373749</v>
      </c>
      <c r="E11" s="34">
        <v>3.2395069861669978</v>
      </c>
      <c r="F11" s="34">
        <v>3.2395069861669978</v>
      </c>
      <c r="G11" s="132">
        <v>0.21879212609174872</v>
      </c>
    </row>
    <row r="12" spans="1:8">
      <c r="A12" s="178"/>
      <c r="B12" s="22" t="s">
        <v>18</v>
      </c>
      <c r="C12" s="133">
        <v>0.86919415804959166</v>
      </c>
      <c r="D12" s="37">
        <v>0.10709832113603435</v>
      </c>
      <c r="E12" s="37">
        <v>0.10589559532292647</v>
      </c>
      <c r="F12" s="37">
        <v>0.10589559532292647</v>
      </c>
      <c r="G12" s="134">
        <v>0.10235051378193312</v>
      </c>
    </row>
    <row r="13" spans="1:8" ht="18.75">
      <c r="A13" s="178"/>
      <c r="B13" s="23" t="s">
        <v>19</v>
      </c>
      <c r="C13" s="78">
        <v>12.291809681561968</v>
      </c>
      <c r="D13" s="38">
        <v>96.519582746764357</v>
      </c>
      <c r="E13" s="112">
        <v>99.572923180831538</v>
      </c>
      <c r="F13" s="10">
        <v>89.266845015671151</v>
      </c>
      <c r="G13" s="113">
        <v>6.220611429137981</v>
      </c>
    </row>
    <row r="14" spans="1:8" ht="18.75">
      <c r="A14" s="178"/>
      <c r="B14" s="21" t="s">
        <v>20</v>
      </c>
      <c r="C14" s="135">
        <v>1.5432849500000003</v>
      </c>
      <c r="D14" s="10">
        <v>-0.87881659273977353</v>
      </c>
      <c r="E14" s="11">
        <v>5.3290154818079145</v>
      </c>
      <c r="F14" s="10">
        <v>-8.458073530374681E-2</v>
      </c>
      <c r="G14" s="137">
        <v>0.3318997183215977</v>
      </c>
    </row>
    <row r="15" spans="1:8" ht="16.5" thickBot="1">
      <c r="A15" s="181"/>
      <c r="B15" s="26" t="s">
        <v>21</v>
      </c>
      <c r="C15" s="149">
        <v>6.5023555487269795E-6</v>
      </c>
      <c r="D15" s="48">
        <v>0.92138788243377934</v>
      </c>
      <c r="E15" s="121">
        <v>4.7218347231793673E-5</v>
      </c>
      <c r="F15" s="43">
        <v>0.96471432894001741</v>
      </c>
      <c r="G15" s="143">
        <v>3.2651650695724579E-2</v>
      </c>
    </row>
    <row r="16" spans="1:8" ht="18.75">
      <c r="A16" s="177" t="s">
        <v>3</v>
      </c>
      <c r="B16" s="24" t="s">
        <v>16</v>
      </c>
      <c r="C16" s="144">
        <v>2.0757777781354054</v>
      </c>
      <c r="D16" s="45">
        <v>39.337999999999994</v>
      </c>
      <c r="E16" s="44">
        <v>87.042620525682409</v>
      </c>
      <c r="F16" s="44">
        <v>72.437684887540556</v>
      </c>
      <c r="G16" s="145">
        <v>3.1340920208024299</v>
      </c>
    </row>
    <row r="17" spans="1:7" ht="18.75">
      <c r="A17" s="178"/>
      <c r="B17" s="21" t="s">
        <v>17</v>
      </c>
      <c r="C17" s="131">
        <v>1.1776047467568824</v>
      </c>
      <c r="D17" s="33">
        <v>-1.2759510567296961</v>
      </c>
      <c r="E17" s="34">
        <v>3.900171550465215</v>
      </c>
      <c r="F17" s="34">
        <v>3.900171550465215</v>
      </c>
      <c r="G17" s="132">
        <v>0.11548823703539769</v>
      </c>
    </row>
    <row r="18" spans="1:7">
      <c r="A18" s="178"/>
      <c r="B18" s="22" t="s">
        <v>18</v>
      </c>
      <c r="C18" s="133">
        <v>3.2583191544442648E-2</v>
      </c>
      <c r="D18" s="37">
        <v>0.70089423024111763</v>
      </c>
      <c r="E18" s="37">
        <v>0.21005861566248696</v>
      </c>
      <c r="F18" s="37">
        <v>0.21005861566248696</v>
      </c>
      <c r="G18" s="134">
        <v>0.41582979453597013</v>
      </c>
    </row>
    <row r="19" spans="1:7" ht="18.75">
      <c r="A19" s="178"/>
      <c r="B19" s="23" t="s">
        <v>19</v>
      </c>
      <c r="C19" s="78">
        <v>2.9388855781354062</v>
      </c>
      <c r="D19" s="38">
        <v>38.195790295370784</v>
      </c>
      <c r="E19" s="112">
        <v>88.055808795775647</v>
      </c>
      <c r="F19" s="10">
        <v>71.918259407923543</v>
      </c>
      <c r="G19" s="113">
        <v>3.1728079245652863</v>
      </c>
    </row>
    <row r="20" spans="1:7" ht="18.75">
      <c r="A20" s="178"/>
      <c r="B20" s="21" t="s">
        <v>20</v>
      </c>
      <c r="C20" s="135">
        <v>0.86310780000000076</v>
      </c>
      <c r="D20" s="10">
        <v>-2.9035784855081843</v>
      </c>
      <c r="E20" s="11">
        <v>1.013188270093238</v>
      </c>
      <c r="F20" s="10">
        <v>-0.7170652684765072</v>
      </c>
      <c r="G20" s="137">
        <v>3.8715903762856385E-2</v>
      </c>
    </row>
    <row r="21" spans="1:7" ht="16.5" thickBot="1">
      <c r="A21" s="179"/>
      <c r="B21" s="25" t="s">
        <v>21</v>
      </c>
      <c r="C21" s="146">
        <v>7.0641879691890938E-2</v>
      </c>
      <c r="D21" s="46">
        <v>0.75776694450824289</v>
      </c>
      <c r="E21" s="89">
        <v>0.52030972943723786</v>
      </c>
      <c r="F21" s="47">
        <v>0.80792059436798147</v>
      </c>
      <c r="G21" s="141">
        <v>0.78557243262475918</v>
      </c>
    </row>
    <row r="22" spans="1:7" ht="18.75">
      <c r="A22" s="180" t="s">
        <v>4</v>
      </c>
      <c r="B22" s="20" t="s">
        <v>16</v>
      </c>
      <c r="C22" s="129">
        <v>-2.9539460978989291</v>
      </c>
      <c r="D22" s="31">
        <v>104.85555555555555</v>
      </c>
      <c r="E22" s="30">
        <v>90.432918533303635</v>
      </c>
      <c r="F22" s="30">
        <v>96.335852653516994</v>
      </c>
      <c r="G22" s="130">
        <v>25.237428116309768</v>
      </c>
    </row>
    <row r="23" spans="1:7" ht="18.75">
      <c r="A23" s="178"/>
      <c r="B23" s="21" t="s">
        <v>17</v>
      </c>
      <c r="C23" s="131">
        <v>0.33850164400950578</v>
      </c>
      <c r="D23" s="33">
        <v>-2.4304041527623292</v>
      </c>
      <c r="E23" s="34">
        <v>-0.31200045843900848</v>
      </c>
      <c r="F23" s="34">
        <v>-0.31200045843900848</v>
      </c>
      <c r="G23" s="132">
        <v>0.50855852918639155</v>
      </c>
    </row>
    <row r="24" spans="1:7">
      <c r="A24" s="178"/>
      <c r="B24" s="22" t="s">
        <v>18</v>
      </c>
      <c r="C24" s="133">
        <v>0.49660093687519791</v>
      </c>
      <c r="D24" s="37">
        <v>0.61299312752711588</v>
      </c>
      <c r="E24" s="37">
        <v>0.59446347949448197</v>
      </c>
      <c r="F24" s="37">
        <v>0.59446347949448197</v>
      </c>
      <c r="G24" s="134">
        <v>0.49597148422623061</v>
      </c>
    </row>
    <row r="25" spans="1:7" ht="18.75">
      <c r="A25" s="178"/>
      <c r="B25" s="23" t="s">
        <v>19</v>
      </c>
      <c r="C25" s="78">
        <v>-1.715514542343374</v>
      </c>
      <c r="D25" s="38">
        <v>112.44598853424485</v>
      </c>
      <c r="E25" s="112">
        <v>89.928349747820107</v>
      </c>
      <c r="F25" s="10">
        <v>96.272823917619277</v>
      </c>
      <c r="G25" s="113">
        <v>25.066578969813932</v>
      </c>
    </row>
    <row r="26" spans="1:7" ht="18.75">
      <c r="A26" s="178"/>
      <c r="B26" s="21" t="s">
        <v>20</v>
      </c>
      <c r="C26" s="135">
        <v>1.2384315555555552</v>
      </c>
      <c r="D26" s="10">
        <v>7.2389421223062094</v>
      </c>
      <c r="E26" s="11">
        <v>-0.5045687854835279</v>
      </c>
      <c r="F26" s="10">
        <v>-6.5426042497816167E-2</v>
      </c>
      <c r="G26" s="115">
        <v>-0.17084914649583638</v>
      </c>
    </row>
    <row r="27" spans="1:7" ht="16.5" thickBot="1">
      <c r="A27" s="181"/>
      <c r="B27" s="26" t="s">
        <v>21</v>
      </c>
      <c r="C27" s="149">
        <v>6.9546576802357778E-3</v>
      </c>
      <c r="D27" s="48">
        <v>0.25365719343295012</v>
      </c>
      <c r="E27" s="121">
        <v>0.73741490304049351</v>
      </c>
      <c r="F27" s="43">
        <v>0.88198294108065189</v>
      </c>
      <c r="G27" s="122">
        <v>0.70231430646446857</v>
      </c>
    </row>
    <row r="28" spans="1:7" ht="18.75">
      <c r="A28" s="177" t="s">
        <v>5</v>
      </c>
      <c r="B28" s="24" t="s">
        <v>16</v>
      </c>
      <c r="C28" s="144">
        <v>8.1689627239072475</v>
      </c>
      <c r="D28" s="45">
        <v>139.67433333333335</v>
      </c>
      <c r="E28" s="44">
        <v>97.708441713953874</v>
      </c>
      <c r="F28" s="44">
        <v>98.412265129643188</v>
      </c>
      <c r="G28" s="145">
        <v>34.616355205085924</v>
      </c>
    </row>
    <row r="29" spans="1:7" ht="18.75">
      <c r="A29" s="178"/>
      <c r="B29" s="21" t="s">
        <v>17</v>
      </c>
      <c r="C29" s="131">
        <v>0.46924324469445111</v>
      </c>
      <c r="D29" s="33">
        <v>1.2755728587319242</v>
      </c>
      <c r="E29" s="34">
        <v>-0.13371548936264946</v>
      </c>
      <c r="F29" s="34">
        <v>-0.13371548936264946</v>
      </c>
      <c r="G29" s="132">
        <v>-2.2038822730727579E-2</v>
      </c>
    </row>
    <row r="30" spans="1:7">
      <c r="A30" s="178"/>
      <c r="B30" s="22" t="s">
        <v>18</v>
      </c>
      <c r="C30" s="133">
        <v>7.2580303876473504E-2</v>
      </c>
      <c r="D30" s="37">
        <v>0.88467383698343227</v>
      </c>
      <c r="E30" s="49">
        <v>0.71837456184446791</v>
      </c>
      <c r="F30" s="49">
        <v>0.71837456184446791</v>
      </c>
      <c r="G30" s="134">
        <v>0.93889109654003289</v>
      </c>
    </row>
    <row r="31" spans="1:7" ht="18.75">
      <c r="A31" s="178"/>
      <c r="B31" s="23" t="s">
        <v>19</v>
      </c>
      <c r="C31" s="78">
        <v>8.8638731127961332</v>
      </c>
      <c r="D31" s="38">
        <v>138.61518410566129</v>
      </c>
      <c r="E31" s="112">
        <v>94.419150212415488</v>
      </c>
      <c r="F31" s="10">
        <v>97.830316211487528</v>
      </c>
      <c r="G31" s="113">
        <v>33.237162822465329</v>
      </c>
    </row>
    <row r="32" spans="1:7" ht="18.75">
      <c r="A32" s="178"/>
      <c r="B32" s="21" t="s">
        <v>20</v>
      </c>
      <c r="C32" s="135">
        <v>0.69491038888888568</v>
      </c>
      <c r="D32" s="10">
        <v>-0.75829911079253309</v>
      </c>
      <c r="E32" s="11">
        <v>-3.2892915015383863</v>
      </c>
      <c r="F32" s="10">
        <v>-0.59133779452086821</v>
      </c>
      <c r="G32" s="115">
        <v>-1.3791923826205945</v>
      </c>
    </row>
    <row r="33" spans="1:15" ht="16.5" thickBot="1">
      <c r="A33" s="179"/>
      <c r="B33" s="25" t="s">
        <v>21</v>
      </c>
      <c r="C33" s="146">
        <v>3.8158443657687825E-3</v>
      </c>
      <c r="D33" s="46">
        <v>0.90026110003088333</v>
      </c>
      <c r="E33" s="117">
        <v>8.3889749585504599E-3</v>
      </c>
      <c r="F33" s="47">
        <v>0.2805478500173223</v>
      </c>
      <c r="G33" s="118">
        <v>3.7691258289461378E-3</v>
      </c>
    </row>
    <row r="34" spans="1:15" ht="18.75">
      <c r="A34" s="177" t="s">
        <v>6</v>
      </c>
      <c r="B34" s="24" t="s">
        <v>16</v>
      </c>
      <c r="C34" s="129">
        <v>17.2282777779897</v>
      </c>
      <c r="D34" s="31">
        <v>93.291666666666657</v>
      </c>
      <c r="E34" s="30">
        <v>97.543134601001015</v>
      </c>
      <c r="F34" s="30">
        <v>72.799791106054343</v>
      </c>
      <c r="G34" s="130">
        <v>6.3823335290910093</v>
      </c>
    </row>
    <row r="35" spans="1:15" ht="18.75">
      <c r="A35" s="178"/>
      <c r="B35" s="21" t="s">
        <v>17</v>
      </c>
      <c r="C35" s="131">
        <v>0.5641446064435216</v>
      </c>
      <c r="D35" s="33">
        <v>-7.2855394883203601</v>
      </c>
      <c r="E35" s="34">
        <v>3.1582506934643733</v>
      </c>
      <c r="F35" s="34">
        <v>3.1582506934643733</v>
      </c>
      <c r="G35" s="132">
        <v>0.23423396391203549</v>
      </c>
    </row>
    <row r="36" spans="1:15">
      <c r="A36" s="178"/>
      <c r="B36" s="22" t="s">
        <v>18</v>
      </c>
      <c r="C36" s="133">
        <v>2.7610535089492537E-2</v>
      </c>
      <c r="D36" s="37">
        <v>0.43816006780013228</v>
      </c>
      <c r="E36" s="37">
        <v>0.49272960489363327</v>
      </c>
      <c r="F36" s="37">
        <v>0.49272960489363327</v>
      </c>
      <c r="G36" s="134">
        <v>0.56371654069345245</v>
      </c>
    </row>
    <row r="37" spans="1:15" ht="18.75">
      <c r="A37" s="178"/>
      <c r="B37" s="23" t="s">
        <v>19</v>
      </c>
      <c r="C37" s="78">
        <v>18.2661959779897</v>
      </c>
      <c r="D37" s="38">
        <v>104.23473351078934</v>
      </c>
      <c r="E37" s="112">
        <v>97.322461573753444</v>
      </c>
      <c r="F37" s="10">
        <v>67.72961966320733</v>
      </c>
      <c r="G37" s="113">
        <v>5.8987836232865272</v>
      </c>
    </row>
    <row r="38" spans="1:15" ht="18.75">
      <c r="A38" s="178"/>
      <c r="B38" s="21" t="s">
        <v>20</v>
      </c>
      <c r="C38" s="135">
        <v>1.0379182</v>
      </c>
      <c r="D38" s="10">
        <v>11.729951061140884</v>
      </c>
      <c r="E38" s="11">
        <v>-0.22067302724757099</v>
      </c>
      <c r="F38" s="10">
        <v>-6.9645411969119815</v>
      </c>
      <c r="G38" s="115">
        <v>-0.48354990580448209</v>
      </c>
    </row>
    <row r="39" spans="1:15" ht="16.5" thickBot="1">
      <c r="A39" s="179"/>
      <c r="B39" s="25" t="s">
        <v>21</v>
      </c>
      <c r="C39" s="149">
        <v>8.8140951763893561E-4</v>
      </c>
      <c r="D39" s="48">
        <v>0.14726950781849213</v>
      </c>
      <c r="E39" s="121">
        <v>0.68235277056210264</v>
      </c>
      <c r="F39" s="43">
        <v>0.12980069432022512</v>
      </c>
      <c r="G39" s="122">
        <v>0.1136431317604506</v>
      </c>
    </row>
    <row r="40" spans="1:15" ht="18.75">
      <c r="A40" s="180" t="s">
        <v>7</v>
      </c>
      <c r="B40" s="20" t="s">
        <v>16</v>
      </c>
      <c r="C40" s="144">
        <v>19.088387097225393</v>
      </c>
      <c r="D40" s="45">
        <v>102.99600000000001</v>
      </c>
      <c r="E40" s="44">
        <v>90.102002054601812</v>
      </c>
      <c r="F40" s="44">
        <v>63.206911425355173</v>
      </c>
      <c r="G40" s="145">
        <v>4.026210936813154</v>
      </c>
    </row>
    <row r="41" spans="1:15" ht="18.75">
      <c r="A41" s="178"/>
      <c r="B41" s="21" t="s">
        <v>17</v>
      </c>
      <c r="C41" s="131">
        <v>1.075371200841851</v>
      </c>
      <c r="D41" s="33">
        <v>3.4832480533926575</v>
      </c>
      <c r="E41" s="34">
        <v>-1.9449760435130878</v>
      </c>
      <c r="F41" s="34">
        <v>-1.9449760435130878</v>
      </c>
      <c r="G41" s="132">
        <v>0.14775099582940285</v>
      </c>
    </row>
    <row r="42" spans="1:15">
      <c r="A42" s="178"/>
      <c r="B42" s="22" t="s">
        <v>18</v>
      </c>
      <c r="C42" s="133">
        <v>3.883899461769462E-4</v>
      </c>
      <c r="D42" s="37">
        <v>0.75621915967431508</v>
      </c>
      <c r="E42" s="49">
        <v>0.72235383751809312</v>
      </c>
      <c r="F42" s="49">
        <v>0.72235383751809312</v>
      </c>
      <c r="G42" s="134">
        <v>0.69096123842655544</v>
      </c>
    </row>
    <row r="43" spans="1:15" ht="18.75">
      <c r="A43" s="178"/>
      <c r="B43" s="23" t="s">
        <v>19</v>
      </c>
      <c r="C43" s="78">
        <v>19.714885730558724</v>
      </c>
      <c r="D43" s="38">
        <v>104.72984119955508</v>
      </c>
      <c r="E43" s="112">
        <v>94.269540546482702</v>
      </c>
      <c r="F43" s="10">
        <v>62.812190459451934</v>
      </c>
      <c r="G43" s="113">
        <v>4.1906890147142466</v>
      </c>
    </row>
    <row r="44" spans="1:15" ht="18.75">
      <c r="A44" s="178"/>
      <c r="B44" s="21" t="s">
        <v>20</v>
      </c>
      <c r="C44" s="135">
        <v>0.62649863333333045</v>
      </c>
      <c r="D44" s="10">
        <v>1.6834063454455201</v>
      </c>
      <c r="E44" s="11">
        <v>4.1675384918808902</v>
      </c>
      <c r="F44" s="10">
        <v>-0.62449019735664646</v>
      </c>
      <c r="G44" s="137">
        <v>0.16447807790109215</v>
      </c>
    </row>
    <row r="45" spans="1:15" ht="16.5" thickBot="1">
      <c r="A45" s="179"/>
      <c r="B45" s="25" t="s">
        <v>21</v>
      </c>
      <c r="C45" s="149">
        <v>7.438907234082813E-2</v>
      </c>
      <c r="D45" s="48">
        <v>0.88442958914193459</v>
      </c>
      <c r="E45" s="121">
        <v>6.8756136470439613E-2</v>
      </c>
      <c r="F45" s="43">
        <v>0.93630837154252322</v>
      </c>
      <c r="G45" s="143">
        <v>0.64443485779592113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18.751236559057748</v>
      </c>
      <c r="E49" s="100">
        <f>C5</f>
        <v>0.90578707486875398</v>
      </c>
      <c r="F49" s="97">
        <f>C6</f>
        <v>6.4232651779618752E-5</v>
      </c>
      <c r="G49" s="100">
        <f>C7</f>
        <v>19.67657304239108</v>
      </c>
      <c r="H49" s="100">
        <f>C8</f>
        <v>0.92533648333333218</v>
      </c>
      <c r="I49" s="97">
        <f>C9</f>
        <v>2.4055112266528752E-3</v>
      </c>
    </row>
    <row r="50" spans="1:9">
      <c r="A50" s="65">
        <v>26</v>
      </c>
      <c r="B50" s="98">
        <v>13</v>
      </c>
      <c r="C50" s="99">
        <v>52</v>
      </c>
      <c r="D50" s="100">
        <f>D4</f>
        <v>177.88400000000001</v>
      </c>
      <c r="E50" s="100">
        <f>D5</f>
        <v>13.083604004449388</v>
      </c>
      <c r="F50" s="97">
        <f>D6</f>
        <v>0.38156877992608307</v>
      </c>
      <c r="G50" s="100">
        <f>D7</f>
        <v>169.67803799099246</v>
      </c>
      <c r="H50" s="100">
        <f>D8</f>
        <v>-4.6130973044273507</v>
      </c>
      <c r="I50" s="97">
        <f>D9</f>
        <v>0.59978061471158395</v>
      </c>
    </row>
    <row r="51" spans="1:9">
      <c r="A51" s="65">
        <v>26</v>
      </c>
      <c r="B51" s="98">
        <v>13</v>
      </c>
      <c r="C51" s="99">
        <v>54</v>
      </c>
      <c r="D51" s="100">
        <f>E4</f>
        <v>96.443643966645865</v>
      </c>
      <c r="E51" s="100">
        <f>E5</f>
        <v>-1.2685144744036849</v>
      </c>
      <c r="F51" s="97">
        <f>E6</f>
        <v>0.50436271968859825</v>
      </c>
      <c r="G51" s="100">
        <f>E7</f>
        <v>97.790743538546494</v>
      </c>
      <c r="H51" s="100">
        <f>E8</f>
        <v>1.347099571900614</v>
      </c>
      <c r="I51" s="97">
        <f>E9</f>
        <v>0.18863929129521839</v>
      </c>
    </row>
    <row r="52" spans="1:9">
      <c r="A52" s="65">
        <v>26</v>
      </c>
      <c r="B52" s="98">
        <v>13</v>
      </c>
      <c r="C52" s="101">
        <v>55</v>
      </c>
      <c r="D52" s="100">
        <f>F4</f>
        <v>95.089789526791961</v>
      </c>
      <c r="E52" s="100">
        <f>F5</f>
        <v>-1.2685144744036849</v>
      </c>
      <c r="F52" s="97">
        <f>F6</f>
        <v>0.50436271968859825</v>
      </c>
      <c r="G52" s="100">
        <f>F7</f>
        <v>96.263636325937838</v>
      </c>
      <c r="H52" s="100">
        <f>F8</f>
        <v>1.2344614547865163</v>
      </c>
      <c r="I52" s="97">
        <f>F9</f>
        <v>0.41474054431348151</v>
      </c>
    </row>
    <row r="53" spans="1:9">
      <c r="A53" s="65">
        <v>26</v>
      </c>
      <c r="B53" s="98">
        <v>13</v>
      </c>
      <c r="C53" s="101">
        <v>56</v>
      </c>
      <c r="D53" s="100">
        <f>G4</f>
        <v>6.4140737544732627</v>
      </c>
      <c r="E53" s="100">
        <f>G5</f>
        <v>-0.29510535221832845</v>
      </c>
      <c r="F53" s="97">
        <f>G6</f>
        <v>2.7518942158110453E-2</v>
      </c>
      <c r="G53" s="100">
        <f>G7</f>
        <v>6.5777261983436706</v>
      </c>
      <c r="H53" s="100">
        <f>G8</f>
        <v>0.16365244387040789</v>
      </c>
      <c r="I53" s="97">
        <f>G9</f>
        <v>0.19667592568948611</v>
      </c>
    </row>
    <row r="54" spans="1:9">
      <c r="A54" s="65">
        <v>26</v>
      </c>
      <c r="B54" s="98">
        <v>14</v>
      </c>
      <c r="C54" s="99">
        <v>51</v>
      </c>
      <c r="D54" s="100">
        <f>C10</f>
        <v>10.748524731561968</v>
      </c>
      <c r="E54" s="100">
        <f>C11</f>
        <v>3.564165661270622E-2</v>
      </c>
      <c r="F54" s="97">
        <f>C12</f>
        <v>0.86919415804959166</v>
      </c>
      <c r="G54" s="100">
        <f>C13</f>
        <v>12.291809681561968</v>
      </c>
      <c r="H54" s="100">
        <f>C14</f>
        <v>1.5432849500000003</v>
      </c>
      <c r="I54" s="97">
        <f>C15</f>
        <v>6.5023555487269795E-6</v>
      </c>
    </row>
    <row r="55" spans="1:9">
      <c r="A55" s="65">
        <v>26</v>
      </c>
      <c r="B55" s="98">
        <v>14</v>
      </c>
      <c r="C55" s="99">
        <v>52</v>
      </c>
      <c r="D55" s="100">
        <f>D10</f>
        <v>97.375333333333359</v>
      </c>
      <c r="E55" s="100">
        <f>D11</f>
        <v>13.736462736373749</v>
      </c>
      <c r="F55" s="97">
        <f>D12</f>
        <v>0.10709832113603435</v>
      </c>
      <c r="G55" s="100">
        <f>D13</f>
        <v>96.519582746764357</v>
      </c>
      <c r="H55" s="100">
        <f>D14</f>
        <v>-0.87881659273977353</v>
      </c>
      <c r="I55" s="97">
        <f>D15</f>
        <v>0.92138788243377934</v>
      </c>
    </row>
    <row r="56" spans="1:9">
      <c r="A56" s="65">
        <v>26</v>
      </c>
      <c r="B56" s="98">
        <v>14</v>
      </c>
      <c r="C56" s="99">
        <v>54</v>
      </c>
      <c r="D56" s="100">
        <f>E10</f>
        <v>94.243907699023623</v>
      </c>
      <c r="E56" s="100">
        <f>E11</f>
        <v>3.2395069861669978</v>
      </c>
      <c r="F56" s="97">
        <f>E12</f>
        <v>0.10589559532292647</v>
      </c>
      <c r="G56" s="100">
        <f>E13</f>
        <v>99.572923180831538</v>
      </c>
      <c r="H56" s="100">
        <f>E14</f>
        <v>5.3290154818079145</v>
      </c>
      <c r="I56" s="97">
        <f>E15</f>
        <v>4.7218347231793673E-5</v>
      </c>
    </row>
    <row r="57" spans="1:9">
      <c r="A57" s="65">
        <v>26</v>
      </c>
      <c r="B57" s="98">
        <v>14</v>
      </c>
      <c r="C57" s="101">
        <v>55</v>
      </c>
      <c r="D57" s="100">
        <f>F10</f>
        <v>89.342411484242618</v>
      </c>
      <c r="E57" s="100">
        <f>F11</f>
        <v>3.2395069861669978</v>
      </c>
      <c r="F57" s="97">
        <f>F12</f>
        <v>0.10589559532292647</v>
      </c>
      <c r="G57" s="100">
        <f>F13</f>
        <v>89.266845015671151</v>
      </c>
      <c r="H57" s="100">
        <f>F14</f>
        <v>-8.458073530374681E-2</v>
      </c>
      <c r="I57" s="97">
        <f>F15</f>
        <v>0.96471432894001741</v>
      </c>
    </row>
    <row r="58" spans="1:9">
      <c r="A58" s="65">
        <v>26</v>
      </c>
      <c r="B58" s="98">
        <v>14</v>
      </c>
      <c r="C58" s="101">
        <v>56</v>
      </c>
      <c r="D58" s="100">
        <f>G10</f>
        <v>5.8887117108163833</v>
      </c>
      <c r="E58" s="100">
        <f>G11</f>
        <v>0.21879212609174872</v>
      </c>
      <c r="F58" s="97">
        <f>G12</f>
        <v>0.10235051378193312</v>
      </c>
      <c r="G58" s="100">
        <f>G13</f>
        <v>6.220611429137981</v>
      </c>
      <c r="H58" s="100">
        <f>G14</f>
        <v>0.3318997183215977</v>
      </c>
      <c r="I58" s="97">
        <f>G15</f>
        <v>3.2651650695724579E-2</v>
      </c>
    </row>
    <row r="59" spans="1:9">
      <c r="A59" s="65">
        <v>26</v>
      </c>
      <c r="B59" s="98">
        <v>15</v>
      </c>
      <c r="C59" s="99">
        <v>51</v>
      </c>
      <c r="D59" s="100">
        <f>C16</f>
        <v>2.0757777781354054</v>
      </c>
      <c r="E59" s="100">
        <f>C17</f>
        <v>1.1776047467568824</v>
      </c>
      <c r="F59" s="97">
        <f>C18</f>
        <v>3.2583191544442648E-2</v>
      </c>
      <c r="G59" s="100">
        <f>C19</f>
        <v>2.9388855781354062</v>
      </c>
      <c r="H59" s="100">
        <f>C20</f>
        <v>0.86310780000000076</v>
      </c>
      <c r="I59" s="97">
        <f>C21</f>
        <v>7.0641879691890938E-2</v>
      </c>
    </row>
    <row r="60" spans="1:9">
      <c r="A60" s="65">
        <v>26</v>
      </c>
      <c r="B60" s="98">
        <v>15</v>
      </c>
      <c r="C60" s="99">
        <v>52</v>
      </c>
      <c r="D60" s="100">
        <f>D16</f>
        <v>39.337999999999994</v>
      </c>
      <c r="E60" s="100">
        <f>D17</f>
        <v>-1.2759510567296961</v>
      </c>
      <c r="F60" s="97">
        <f>D18</f>
        <v>0.70089423024111763</v>
      </c>
      <c r="G60" s="100">
        <f>D19</f>
        <v>38.195790295370784</v>
      </c>
      <c r="H60" s="100">
        <f>D20</f>
        <v>-2.9035784855081843</v>
      </c>
      <c r="I60" s="97">
        <f>D21</f>
        <v>0.75776694450824289</v>
      </c>
    </row>
    <row r="61" spans="1:9">
      <c r="A61" s="65">
        <v>26</v>
      </c>
      <c r="B61" s="98">
        <v>15</v>
      </c>
      <c r="C61" s="99">
        <v>54</v>
      </c>
      <c r="D61" s="100">
        <f>E16</f>
        <v>87.042620525682409</v>
      </c>
      <c r="E61" s="100">
        <f>E17</f>
        <v>3.900171550465215</v>
      </c>
      <c r="F61" s="97">
        <f>E18</f>
        <v>0.21005861566248696</v>
      </c>
      <c r="G61" s="100">
        <f>E19</f>
        <v>88.055808795775647</v>
      </c>
      <c r="H61" s="100">
        <f>E20</f>
        <v>1.013188270093238</v>
      </c>
      <c r="I61" s="97">
        <f>E21</f>
        <v>0.52030972943723786</v>
      </c>
    </row>
    <row r="62" spans="1:9">
      <c r="A62" s="65">
        <v>26</v>
      </c>
      <c r="B62" s="98">
        <v>15</v>
      </c>
      <c r="C62" s="101">
        <v>55</v>
      </c>
      <c r="D62" s="102">
        <f>F16</f>
        <v>72.437684887540556</v>
      </c>
      <c r="E62" s="100">
        <f>F17</f>
        <v>3.900171550465215</v>
      </c>
      <c r="F62" s="97">
        <f>F18</f>
        <v>0.21005861566248696</v>
      </c>
      <c r="G62" s="100">
        <f>F19</f>
        <v>71.918259407923543</v>
      </c>
      <c r="H62" s="100">
        <f>F20</f>
        <v>-0.7170652684765072</v>
      </c>
      <c r="I62" s="97">
        <f>F21</f>
        <v>0.80792059436798147</v>
      </c>
    </row>
    <row r="63" spans="1:9">
      <c r="A63" s="65">
        <v>26</v>
      </c>
      <c r="B63" s="98">
        <v>15</v>
      </c>
      <c r="C63" s="101">
        <v>56</v>
      </c>
      <c r="D63" s="102">
        <f>G16</f>
        <v>3.1340920208024299</v>
      </c>
      <c r="E63" s="100">
        <f>G17</f>
        <v>0.11548823703539769</v>
      </c>
      <c r="F63" s="97">
        <f>G18</f>
        <v>0.41582979453597013</v>
      </c>
      <c r="G63" s="100">
        <f>G19</f>
        <v>3.1728079245652863</v>
      </c>
      <c r="H63" s="100">
        <f>G20</f>
        <v>3.8715903762856385E-2</v>
      </c>
      <c r="I63" s="97">
        <f>G21</f>
        <v>0.78557243262475918</v>
      </c>
    </row>
    <row r="64" spans="1:9">
      <c r="A64" s="65">
        <v>26</v>
      </c>
      <c r="B64" s="98">
        <v>16</v>
      </c>
      <c r="C64" s="99">
        <v>51</v>
      </c>
      <c r="D64" s="100">
        <f>C22</f>
        <v>-2.9539460978989291</v>
      </c>
      <c r="E64" s="103">
        <f>C23</f>
        <v>0.33850164400950578</v>
      </c>
      <c r="F64" s="104">
        <f>C24</f>
        <v>0.49660093687519791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104.85555555555555</v>
      </c>
      <c r="E65" s="103">
        <f>D23</f>
        <v>-2.4304041527623292</v>
      </c>
      <c r="F65" s="104">
        <f>D24</f>
        <v>0.61299312752711588</v>
      </c>
      <c r="G65" s="100">
        <f>D25</f>
        <v>112.44598853424485</v>
      </c>
      <c r="H65" s="100">
        <f>D26</f>
        <v>7.2389421223062094</v>
      </c>
      <c r="I65" s="97">
        <f>D27</f>
        <v>0.25365719343295012</v>
      </c>
    </row>
    <row r="66" spans="1:9">
      <c r="A66" s="65">
        <v>26</v>
      </c>
      <c r="B66" s="98">
        <v>16</v>
      </c>
      <c r="C66" s="99">
        <v>54</v>
      </c>
      <c r="D66" s="100">
        <f>E22</f>
        <v>90.432918533303635</v>
      </c>
      <c r="E66" s="103">
        <f>E23</f>
        <v>-0.31200045843900848</v>
      </c>
      <c r="F66" s="104">
        <f>E24</f>
        <v>0.59446347949448197</v>
      </c>
      <c r="G66" s="100">
        <f>E25</f>
        <v>89.928349747820107</v>
      </c>
      <c r="H66" s="100">
        <f>E26</f>
        <v>-0.5045687854835279</v>
      </c>
      <c r="I66" s="97">
        <f>E27</f>
        <v>0.73741490304049351</v>
      </c>
    </row>
    <row r="67" spans="1:9">
      <c r="A67" s="65">
        <v>26</v>
      </c>
      <c r="B67" s="98">
        <v>16</v>
      </c>
      <c r="C67" s="101">
        <v>55</v>
      </c>
      <c r="D67" s="105">
        <f>F22</f>
        <v>96.335852653516994</v>
      </c>
      <c r="E67" s="106">
        <f>F23</f>
        <v>-0.31200045843900848</v>
      </c>
      <c r="F67" s="107">
        <f>F24</f>
        <v>0.59446347949448197</v>
      </c>
      <c r="G67" s="100">
        <f>F25</f>
        <v>96.272823917619277</v>
      </c>
      <c r="H67" s="100">
        <f>F26</f>
        <v>-6.5426042497816167E-2</v>
      </c>
      <c r="I67" s="97">
        <f>F27</f>
        <v>0.88198294108065189</v>
      </c>
    </row>
    <row r="68" spans="1:9">
      <c r="A68" s="65">
        <v>26</v>
      </c>
      <c r="B68" s="98">
        <v>16</v>
      </c>
      <c r="C68" s="101">
        <v>56</v>
      </c>
      <c r="D68" s="108">
        <f>G22</f>
        <v>25.237428116309768</v>
      </c>
      <c r="E68" s="100">
        <f>G23</f>
        <v>0.50855852918639155</v>
      </c>
      <c r="F68" s="97">
        <f>G24</f>
        <v>0.49597148422623061</v>
      </c>
      <c r="G68" s="100">
        <f>G25</f>
        <v>25.066578969813932</v>
      </c>
      <c r="H68" s="100">
        <f>G23</f>
        <v>0.50855852918639155</v>
      </c>
      <c r="I68" s="97">
        <f>G24</f>
        <v>0.49597148422623061</v>
      </c>
    </row>
    <row r="69" spans="1:9">
      <c r="A69" s="65">
        <v>26</v>
      </c>
      <c r="B69" s="98">
        <v>17</v>
      </c>
      <c r="C69" s="99">
        <v>51</v>
      </c>
      <c r="D69" s="100">
        <f>C28</f>
        <v>8.1689627239072475</v>
      </c>
      <c r="E69" s="103">
        <f>C29</f>
        <v>0.46924324469445111</v>
      </c>
      <c r="F69" s="104">
        <f>C30</f>
        <v>7.2580303876473504E-2</v>
      </c>
      <c r="G69" s="100">
        <f>C31</f>
        <v>8.8638731127961332</v>
      </c>
      <c r="H69" s="100">
        <f>C32</f>
        <v>0.69491038888888568</v>
      </c>
      <c r="I69" s="97">
        <f>C33</f>
        <v>3.8158443657687825E-3</v>
      </c>
    </row>
    <row r="70" spans="1:9">
      <c r="A70" s="65">
        <v>26</v>
      </c>
      <c r="B70" s="98">
        <v>17</v>
      </c>
      <c r="C70" s="99">
        <v>52</v>
      </c>
      <c r="D70" s="100">
        <f>D28</f>
        <v>139.67433333333335</v>
      </c>
      <c r="E70" s="103">
        <f>D29</f>
        <v>1.2755728587319242</v>
      </c>
      <c r="F70" s="104">
        <f>D30</f>
        <v>0.88467383698343227</v>
      </c>
      <c r="G70" s="100">
        <f>D31</f>
        <v>138.61518410566129</v>
      </c>
      <c r="H70" s="100">
        <f>D32</f>
        <v>-0.75829911079253309</v>
      </c>
      <c r="I70" s="97">
        <f>D33</f>
        <v>0.90026110003088333</v>
      </c>
    </row>
    <row r="71" spans="1:9">
      <c r="A71" s="65">
        <v>26</v>
      </c>
      <c r="B71" s="98">
        <v>17</v>
      </c>
      <c r="C71" s="99">
        <v>54</v>
      </c>
      <c r="D71" s="100">
        <f>E28</f>
        <v>97.708441713953874</v>
      </c>
      <c r="E71" s="103">
        <f>E29</f>
        <v>-0.13371548936264946</v>
      </c>
      <c r="F71" s="104">
        <f>E30</f>
        <v>0.71837456184446791</v>
      </c>
      <c r="G71" s="100">
        <f>E31</f>
        <v>94.419150212415488</v>
      </c>
      <c r="H71" s="100">
        <f>E32</f>
        <v>-3.2892915015383863</v>
      </c>
      <c r="I71" s="97">
        <f>E33</f>
        <v>8.3889749585504599E-3</v>
      </c>
    </row>
    <row r="72" spans="1:9">
      <c r="A72" s="65">
        <v>26</v>
      </c>
      <c r="B72" s="98">
        <v>17</v>
      </c>
      <c r="C72" s="101">
        <v>55</v>
      </c>
      <c r="D72" s="105">
        <f>F28</f>
        <v>98.412265129643188</v>
      </c>
      <c r="E72" s="106">
        <f>F29</f>
        <v>-0.13371548936264946</v>
      </c>
      <c r="F72" s="107">
        <f>F30</f>
        <v>0.71837456184446791</v>
      </c>
      <c r="G72" s="100">
        <f>F31</f>
        <v>97.830316211487528</v>
      </c>
      <c r="H72" s="100">
        <f>F32</f>
        <v>-0.59133779452086821</v>
      </c>
      <c r="I72" s="97">
        <f>F33</f>
        <v>0.2805478500173223</v>
      </c>
    </row>
    <row r="73" spans="1:9">
      <c r="A73" s="65">
        <v>26</v>
      </c>
      <c r="B73" s="98">
        <v>17</v>
      </c>
      <c r="C73" s="101">
        <v>56</v>
      </c>
      <c r="D73" s="108">
        <f>G28</f>
        <v>34.616355205085924</v>
      </c>
      <c r="E73" s="100">
        <f>G29</f>
        <v>-2.2038822730727579E-2</v>
      </c>
      <c r="F73" s="97">
        <f>G30</f>
        <v>0.93889109654003289</v>
      </c>
      <c r="G73" s="100">
        <f>G31</f>
        <v>33.237162822465329</v>
      </c>
      <c r="H73" s="100">
        <f>G32</f>
        <v>-1.3791923826205945</v>
      </c>
      <c r="I73" s="97">
        <f>G33</f>
        <v>3.7691258289461378E-3</v>
      </c>
    </row>
    <row r="74" spans="1:9">
      <c r="A74" s="65">
        <v>26</v>
      </c>
      <c r="B74" s="98">
        <v>18</v>
      </c>
      <c r="C74" s="99">
        <v>51</v>
      </c>
      <c r="D74" s="100">
        <f>C34</f>
        <v>17.2282777779897</v>
      </c>
      <c r="E74" s="103">
        <f>C35</f>
        <v>0.5641446064435216</v>
      </c>
      <c r="F74" s="104">
        <f>C36</f>
        <v>2.7610535089492537E-2</v>
      </c>
      <c r="G74" s="100">
        <f>C37</f>
        <v>18.2661959779897</v>
      </c>
      <c r="H74" s="100">
        <f>C38</f>
        <v>1.0379182</v>
      </c>
      <c r="I74" s="97">
        <f>C39</f>
        <v>8.8140951763893561E-4</v>
      </c>
    </row>
    <row r="75" spans="1:9">
      <c r="A75" s="65">
        <v>26</v>
      </c>
      <c r="B75" s="98">
        <v>18</v>
      </c>
      <c r="C75" s="99">
        <v>52</v>
      </c>
      <c r="D75" s="100">
        <f>D34</f>
        <v>93.291666666666657</v>
      </c>
      <c r="E75" s="103">
        <f>D35</f>
        <v>-7.2855394883203601</v>
      </c>
      <c r="F75" s="104">
        <f>D36</f>
        <v>0.43816006780013228</v>
      </c>
      <c r="G75" s="100">
        <f>D37</f>
        <v>104.23473351078934</v>
      </c>
      <c r="H75" s="100">
        <f>D38</f>
        <v>11.729951061140884</v>
      </c>
      <c r="I75" s="97">
        <f>D39</f>
        <v>0.14726950781849213</v>
      </c>
    </row>
    <row r="76" spans="1:9">
      <c r="A76" s="65">
        <v>26</v>
      </c>
      <c r="B76" s="98">
        <v>18</v>
      </c>
      <c r="C76" s="99">
        <v>54</v>
      </c>
      <c r="D76" s="100">
        <f>E34</f>
        <v>97.543134601001015</v>
      </c>
      <c r="E76" s="103">
        <f>E35</f>
        <v>3.1582506934643733</v>
      </c>
      <c r="F76" s="104">
        <f>E36</f>
        <v>0.49272960489363327</v>
      </c>
      <c r="G76" s="100">
        <f>E37</f>
        <v>97.322461573753444</v>
      </c>
      <c r="H76" s="100">
        <f>E38</f>
        <v>-0.22067302724757099</v>
      </c>
      <c r="I76" s="97">
        <f>E39</f>
        <v>0.68235277056210264</v>
      </c>
    </row>
    <row r="77" spans="1:9">
      <c r="A77" s="65">
        <v>26</v>
      </c>
      <c r="B77" s="98">
        <v>18</v>
      </c>
      <c r="C77" s="101">
        <v>55</v>
      </c>
      <c r="D77" s="105">
        <f>F34</f>
        <v>72.799791106054343</v>
      </c>
      <c r="E77" s="106">
        <f>F35</f>
        <v>3.1582506934643733</v>
      </c>
      <c r="F77" s="107">
        <f>F36</f>
        <v>0.49272960489363327</v>
      </c>
      <c r="G77" s="100">
        <f>F37</f>
        <v>67.72961966320733</v>
      </c>
      <c r="H77" s="100">
        <f>F38</f>
        <v>-6.9645411969119815</v>
      </c>
      <c r="I77" s="97">
        <f>F39</f>
        <v>0.12980069432022512</v>
      </c>
    </row>
    <row r="78" spans="1:9">
      <c r="A78" s="65">
        <v>26</v>
      </c>
      <c r="B78" s="98">
        <v>18</v>
      </c>
      <c r="C78" s="101">
        <v>56</v>
      </c>
      <c r="D78" s="108">
        <f>G34</f>
        <v>6.3823335290910093</v>
      </c>
      <c r="E78" s="100">
        <f>G35</f>
        <v>0.23423396391203549</v>
      </c>
      <c r="F78" s="97">
        <f>G36</f>
        <v>0.56371654069345245</v>
      </c>
      <c r="G78" s="100">
        <f>G37</f>
        <v>5.8987836232865272</v>
      </c>
      <c r="H78" s="100">
        <f>G38</f>
        <v>-0.48354990580448209</v>
      </c>
      <c r="I78" s="97">
        <f>G39</f>
        <v>0.1136431317604506</v>
      </c>
    </row>
    <row r="79" spans="1:9">
      <c r="A79" s="65">
        <v>26</v>
      </c>
      <c r="B79" s="98">
        <v>19</v>
      </c>
      <c r="C79" s="99">
        <v>51</v>
      </c>
      <c r="D79" s="100">
        <f>C40</f>
        <v>19.088387097225393</v>
      </c>
      <c r="E79" s="103">
        <f>C41</f>
        <v>1.075371200841851</v>
      </c>
      <c r="F79" s="104">
        <f>C42</f>
        <v>3.883899461769462E-4</v>
      </c>
      <c r="G79" s="100">
        <f>C43</f>
        <v>19.714885730558724</v>
      </c>
      <c r="H79" s="100">
        <f>C44</f>
        <v>0.62649863333333045</v>
      </c>
      <c r="I79" s="97">
        <f>C45</f>
        <v>7.438907234082813E-2</v>
      </c>
    </row>
    <row r="80" spans="1:9">
      <c r="A80" s="65">
        <v>26</v>
      </c>
      <c r="B80" s="98">
        <v>19</v>
      </c>
      <c r="C80" s="99">
        <v>52</v>
      </c>
      <c r="D80" s="100">
        <f>D40</f>
        <v>102.99600000000001</v>
      </c>
      <c r="E80" s="100">
        <f>D41</f>
        <v>3.4832480533926575</v>
      </c>
      <c r="F80" s="104">
        <f>D42</f>
        <v>0.75621915967431508</v>
      </c>
      <c r="G80" s="100">
        <f>D43</f>
        <v>104.72984119955508</v>
      </c>
      <c r="H80" s="100">
        <f>D44</f>
        <v>1.6834063454455201</v>
      </c>
      <c r="I80" s="97">
        <f>D45</f>
        <v>0.88442958914193459</v>
      </c>
    </row>
    <row r="81" spans="1:9">
      <c r="A81" s="65">
        <v>26</v>
      </c>
      <c r="B81" s="98">
        <v>19</v>
      </c>
      <c r="C81" s="99">
        <v>54</v>
      </c>
      <c r="D81" s="100">
        <f>E40</f>
        <v>90.102002054601812</v>
      </c>
      <c r="E81" s="103">
        <f>E41</f>
        <v>-1.9449760435130878</v>
      </c>
      <c r="F81" s="104">
        <f>E42</f>
        <v>0.72235383751809312</v>
      </c>
      <c r="G81" s="100">
        <f>E43</f>
        <v>94.269540546482702</v>
      </c>
      <c r="H81" s="100">
        <f>E44</f>
        <v>4.1675384918808902</v>
      </c>
      <c r="I81" s="97">
        <f>E45</f>
        <v>6.8756136470439613E-2</v>
      </c>
    </row>
    <row r="82" spans="1:9">
      <c r="A82" s="65">
        <v>26</v>
      </c>
      <c r="B82" s="98">
        <v>19</v>
      </c>
      <c r="C82" s="101">
        <v>55</v>
      </c>
      <c r="D82" s="105">
        <f>F40</f>
        <v>63.206911425355173</v>
      </c>
      <c r="E82" s="106">
        <f>F41</f>
        <v>-1.9449760435130878</v>
      </c>
      <c r="F82" s="107">
        <f>F42</f>
        <v>0.72235383751809312</v>
      </c>
      <c r="G82" s="100">
        <f>F43</f>
        <v>62.812190459451934</v>
      </c>
      <c r="H82" s="100">
        <f>F44</f>
        <v>-0.62449019735664646</v>
      </c>
      <c r="I82" s="97">
        <f>F45</f>
        <v>0.93630837154252322</v>
      </c>
    </row>
    <row r="83" spans="1:9">
      <c r="A83" s="65">
        <v>26</v>
      </c>
      <c r="B83" s="98">
        <v>19</v>
      </c>
      <c r="C83" s="101">
        <v>56</v>
      </c>
      <c r="D83" s="108">
        <f>G40</f>
        <v>4.026210936813154</v>
      </c>
      <c r="E83" s="106">
        <f>G41</f>
        <v>0.14775099582940285</v>
      </c>
      <c r="F83" s="109">
        <f>G42</f>
        <v>0.69096123842655544</v>
      </c>
      <c r="G83" s="100">
        <f>G43</f>
        <v>4.1906890147142466</v>
      </c>
      <c r="H83" s="100">
        <f>G44</f>
        <v>0.16447807790109215</v>
      </c>
      <c r="I83" s="97">
        <f>G45</f>
        <v>0.64443485779592113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4"/>
  <dimension ref="A1:O83"/>
  <sheetViews>
    <sheetView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20.087728491124281</v>
      </c>
      <c r="D4" s="31">
        <v>125.02</v>
      </c>
      <c r="E4" s="30">
        <v>89.35708193229695</v>
      </c>
      <c r="F4" s="30">
        <v>97.825226918232104</v>
      </c>
      <c r="G4" s="130">
        <v>6.1228445848040485</v>
      </c>
    </row>
    <row r="5" spans="1:8" ht="18.75">
      <c r="A5" s="178"/>
      <c r="B5" s="21" t="s">
        <v>17</v>
      </c>
      <c r="C5" s="131">
        <v>1.00782679065895</v>
      </c>
      <c r="D5" s="33">
        <v>-4.8728587319243601</v>
      </c>
      <c r="E5" s="34">
        <v>-7.2019737322419508E-2</v>
      </c>
      <c r="F5" s="34">
        <v>-7.2019737322419508E-2</v>
      </c>
      <c r="G5" s="132">
        <v>-0.55301356980659533</v>
      </c>
    </row>
    <row r="6" spans="1:8">
      <c r="A6" s="178"/>
      <c r="B6" s="22" t="s">
        <v>18</v>
      </c>
      <c r="C6" s="133">
        <v>7.8227683122391304E-5</v>
      </c>
      <c r="D6" s="37">
        <v>0.6199050725006181</v>
      </c>
      <c r="E6" s="37">
        <v>0.92912751492333789</v>
      </c>
      <c r="F6" s="37">
        <v>0.92912751492333789</v>
      </c>
      <c r="G6" s="134">
        <v>7.8539339435289843E-4</v>
      </c>
    </row>
    <row r="7" spans="1:8" ht="18.75">
      <c r="A7" s="178"/>
      <c r="B7" s="23" t="s">
        <v>19</v>
      </c>
      <c r="C7" s="78">
        <v>21.086189341124285</v>
      </c>
      <c r="D7" s="38">
        <v>119.34433012156293</v>
      </c>
      <c r="E7" s="112">
        <v>85.518478597989159</v>
      </c>
      <c r="F7" s="10">
        <v>98.683644938464809</v>
      </c>
      <c r="G7" s="113">
        <v>5.9231411422363456</v>
      </c>
    </row>
    <row r="8" spans="1:8" ht="18.75">
      <c r="A8" s="178"/>
      <c r="B8" s="21" t="s">
        <v>20</v>
      </c>
      <c r="C8" s="135">
        <v>0.99846085000000429</v>
      </c>
      <c r="D8" s="40">
        <v>-4.5398095332243367</v>
      </c>
      <c r="E8" s="136">
        <v>-3.8386033343077912</v>
      </c>
      <c r="F8" s="10">
        <v>0.87750169079620111</v>
      </c>
      <c r="G8" s="137">
        <v>-0.19970344256770289</v>
      </c>
    </row>
    <row r="9" spans="1:8" ht="16.5" thickBot="1">
      <c r="A9" s="179"/>
      <c r="B9" s="25" t="s">
        <v>21</v>
      </c>
      <c r="C9" s="146">
        <v>2.4460589268263857E-3</v>
      </c>
      <c r="D9" s="139">
        <v>0.61222560609379983</v>
      </c>
      <c r="E9" s="147">
        <v>2.5107758663562095E-2</v>
      </c>
      <c r="F9" s="47">
        <v>0.29067202360574251</v>
      </c>
      <c r="G9" s="141">
        <v>0.15061477149234426</v>
      </c>
    </row>
    <row r="10" spans="1:8" ht="18.75">
      <c r="A10" s="180" t="s">
        <v>2</v>
      </c>
      <c r="B10" s="20" t="s">
        <v>16</v>
      </c>
      <c r="C10" s="129">
        <v>11.280259856686335</v>
      </c>
      <c r="D10" s="31">
        <v>97.362499999999997</v>
      </c>
      <c r="E10" s="30">
        <v>96.199438563494354</v>
      </c>
      <c r="F10" s="30">
        <v>88.917015434329997</v>
      </c>
      <c r="G10" s="130">
        <v>5.9841263479158782</v>
      </c>
    </row>
    <row r="11" spans="1:8" ht="18.75">
      <c r="A11" s="178"/>
      <c r="B11" s="21" t="s">
        <v>17</v>
      </c>
      <c r="C11" s="131">
        <v>0.18704459583995137</v>
      </c>
      <c r="D11" s="33">
        <v>12.790044493882093</v>
      </c>
      <c r="E11" s="34">
        <v>4.6405262264447824</v>
      </c>
      <c r="F11" s="34">
        <v>4.6405262264447824</v>
      </c>
      <c r="G11" s="132">
        <v>0.341969203417964</v>
      </c>
    </row>
    <row r="12" spans="1:8">
      <c r="A12" s="178"/>
      <c r="B12" s="22" t="s">
        <v>18</v>
      </c>
      <c r="C12" s="133">
        <v>0.38982964656929586</v>
      </c>
      <c r="D12" s="37">
        <v>0.14858321991078727</v>
      </c>
      <c r="E12" s="37">
        <v>4.1930433225974499E-2</v>
      </c>
      <c r="F12" s="37">
        <v>4.1930433225974499E-2</v>
      </c>
      <c r="G12" s="134">
        <v>2.6447758644833484E-2</v>
      </c>
    </row>
    <row r="13" spans="1:8" ht="18.75">
      <c r="A13" s="178"/>
      <c r="B13" s="23" t="s">
        <v>19</v>
      </c>
      <c r="C13" s="78">
        <v>12.949048023353003</v>
      </c>
      <c r="D13" s="38">
        <v>92.712994289661012</v>
      </c>
      <c r="E13" s="112">
        <v>99.192959044979801</v>
      </c>
      <c r="F13" s="10">
        <v>88.00955889092269</v>
      </c>
      <c r="G13" s="113">
        <v>6.1026736421578551</v>
      </c>
    </row>
    <row r="14" spans="1:8" ht="18.75">
      <c r="A14" s="178"/>
      <c r="B14" s="21" t="s">
        <v>20</v>
      </c>
      <c r="C14" s="135">
        <v>1.6687881666666673</v>
      </c>
      <c r="D14" s="10">
        <v>-4.7754584263335325</v>
      </c>
      <c r="E14" s="11">
        <v>2.9935204814854472</v>
      </c>
      <c r="F14" s="10">
        <v>-1.0205656802296941</v>
      </c>
      <c r="G14" s="137">
        <v>0.11854729424197696</v>
      </c>
    </row>
    <row r="15" spans="1:8" ht="16.5" thickBot="1">
      <c r="A15" s="181"/>
      <c r="B15" s="26" t="s">
        <v>21</v>
      </c>
      <c r="C15" s="149">
        <v>2.5577990965392123E-6</v>
      </c>
      <c r="D15" s="48">
        <v>0.61267574324633467</v>
      </c>
      <c r="E15" s="121">
        <v>4.1328064449812785E-3</v>
      </c>
      <c r="F15" s="43">
        <v>0.62143614315880447</v>
      </c>
      <c r="G15" s="143">
        <v>0.45202773048073064</v>
      </c>
    </row>
    <row r="16" spans="1:8" ht="18.75">
      <c r="A16" s="177" t="s">
        <v>3</v>
      </c>
      <c r="B16" s="24" t="s">
        <v>16</v>
      </c>
      <c r="C16" s="144">
        <v>2.0117083353414711</v>
      </c>
      <c r="D16" s="45">
        <v>41.889583333333334</v>
      </c>
      <c r="E16" s="44">
        <v>85.783781706591284</v>
      </c>
      <c r="F16" s="44">
        <v>73.656546705800125</v>
      </c>
      <c r="G16" s="145">
        <v>3.1620579834617994</v>
      </c>
    </row>
    <row r="17" spans="1:7" ht="18.75">
      <c r="A17" s="178"/>
      <c r="B17" s="21" t="s">
        <v>17</v>
      </c>
      <c r="C17" s="131">
        <v>1.2932656689166802</v>
      </c>
      <c r="D17" s="33">
        <v>1.4169911012235801</v>
      </c>
      <c r="E17" s="34">
        <v>3.9287766043607162</v>
      </c>
      <c r="F17" s="34">
        <v>3.9287766043607162</v>
      </c>
      <c r="G17" s="132">
        <v>0.20927330343160624</v>
      </c>
    </row>
    <row r="18" spans="1:7">
      <c r="A18" s="178"/>
      <c r="B18" s="22" t="s">
        <v>18</v>
      </c>
      <c r="C18" s="133">
        <v>3.1107881117431572E-2</v>
      </c>
      <c r="D18" s="37">
        <v>0.72057067809250275</v>
      </c>
      <c r="E18" s="37">
        <v>0.23835369125383976</v>
      </c>
      <c r="F18" s="37">
        <v>0.23835369125383976</v>
      </c>
      <c r="G18" s="134">
        <v>0.21384107655539852</v>
      </c>
    </row>
    <row r="19" spans="1:7" ht="18.75">
      <c r="A19" s="178"/>
      <c r="B19" s="23" t="s">
        <v>19</v>
      </c>
      <c r="C19" s="78">
        <v>3.1158098353414712</v>
      </c>
      <c r="D19" s="38">
        <v>38.816805232922661</v>
      </c>
      <c r="E19" s="112">
        <v>87.653592280168468</v>
      </c>
      <c r="F19" s="10">
        <v>72.203987741890771</v>
      </c>
      <c r="G19" s="113">
        <v>3.1741275859973892</v>
      </c>
    </row>
    <row r="20" spans="1:7" ht="18.75">
      <c r="A20" s="178"/>
      <c r="B20" s="21" t="s">
        <v>20</v>
      </c>
      <c r="C20" s="135">
        <v>1.1041015000000001</v>
      </c>
      <c r="D20" s="10">
        <v>-7.3354229283191046</v>
      </c>
      <c r="E20" s="11">
        <v>1.8698105735771833</v>
      </c>
      <c r="F20" s="10">
        <v>-1.9720704117601235</v>
      </c>
      <c r="G20" s="137">
        <v>1.2069602535589752E-2</v>
      </c>
    </row>
    <row r="21" spans="1:7" ht="16.5" thickBot="1">
      <c r="A21" s="179"/>
      <c r="B21" s="25" t="s">
        <v>21</v>
      </c>
      <c r="C21" s="146">
        <v>1.9608121916568248E-2</v>
      </c>
      <c r="D21" s="46">
        <v>0.50402451798020942</v>
      </c>
      <c r="E21" s="89">
        <v>0.21583756135325372</v>
      </c>
      <c r="F21" s="47">
        <v>0.56451123794014024</v>
      </c>
      <c r="G21" s="141">
        <v>0.93615143872788975</v>
      </c>
    </row>
    <row r="22" spans="1:7" ht="18.75">
      <c r="A22" s="180" t="s">
        <v>4</v>
      </c>
      <c r="B22" s="20" t="s">
        <v>16</v>
      </c>
      <c r="C22" s="129">
        <v>-3.0728454676181345</v>
      </c>
      <c r="D22" s="31">
        <v>104.74708333333334</v>
      </c>
      <c r="E22" s="30">
        <v>90.172598994340007</v>
      </c>
      <c r="F22" s="30">
        <v>95.330602761235383</v>
      </c>
      <c r="G22" s="130">
        <v>24.900588999551058</v>
      </c>
    </row>
    <row r="23" spans="1:7" ht="18.75">
      <c r="A23" s="178"/>
      <c r="B23" s="21" t="s">
        <v>17</v>
      </c>
      <c r="C23" s="131">
        <v>0.40159011529975308</v>
      </c>
      <c r="D23" s="33">
        <v>0.66065072302558381</v>
      </c>
      <c r="E23" s="34">
        <v>-1.1906004995687292</v>
      </c>
      <c r="F23" s="34">
        <v>-1.1906004995687292</v>
      </c>
      <c r="G23" s="132">
        <v>0.34926051843834477</v>
      </c>
    </row>
    <row r="24" spans="1:7">
      <c r="A24" s="178"/>
      <c r="B24" s="22" t="s">
        <v>18</v>
      </c>
      <c r="C24" s="133">
        <v>0.41214309424169648</v>
      </c>
      <c r="D24" s="37">
        <v>0.93226443990153463</v>
      </c>
      <c r="E24" s="37">
        <v>0.19273226529817966</v>
      </c>
      <c r="F24" s="37">
        <v>0.19273226529817966</v>
      </c>
      <c r="G24" s="134">
        <v>0.66255868070958623</v>
      </c>
    </row>
    <row r="25" spans="1:7" ht="18.75">
      <c r="A25" s="178"/>
      <c r="B25" s="23" t="s">
        <v>19</v>
      </c>
      <c r="C25" s="78">
        <v>-1.6847351565070234</v>
      </c>
      <c r="D25" s="38">
        <v>118.38847938588658</v>
      </c>
      <c r="E25" s="112">
        <v>89.10434747301656</v>
      </c>
      <c r="F25" s="10">
        <v>95.140329445360678</v>
      </c>
      <c r="G25" s="113">
        <v>24.535525442080193</v>
      </c>
    </row>
    <row r="26" spans="1:7" ht="18.75">
      <c r="A26" s="178"/>
      <c r="B26" s="21" t="s">
        <v>20</v>
      </c>
      <c r="C26" s="135">
        <v>1.3881103111111111</v>
      </c>
      <c r="D26" s="10">
        <v>13.023175078911429</v>
      </c>
      <c r="E26" s="11">
        <v>-1.0682515213234467</v>
      </c>
      <c r="F26" s="10">
        <v>-0.19959311109283301</v>
      </c>
      <c r="G26" s="115">
        <v>-0.36506355747086516</v>
      </c>
    </row>
    <row r="27" spans="1:7" ht="16.5" thickBot="1">
      <c r="A27" s="181"/>
      <c r="B27" s="26" t="s">
        <v>21</v>
      </c>
      <c r="C27" s="149">
        <v>3.2269825504842821E-3</v>
      </c>
      <c r="D27" s="48">
        <v>6.0001954884184146E-2</v>
      </c>
      <c r="E27" s="121">
        <v>0.53434741292704135</v>
      </c>
      <c r="F27" s="43">
        <v>0.67397387405841669</v>
      </c>
      <c r="G27" s="122">
        <v>0.45958955001893631</v>
      </c>
    </row>
    <row r="28" spans="1:7" ht="18.75">
      <c r="A28" s="177" t="s">
        <v>5</v>
      </c>
      <c r="B28" s="24" t="s">
        <v>16</v>
      </c>
      <c r="C28" s="144">
        <v>8.7015751202284317</v>
      </c>
      <c r="D28" s="45">
        <v>121.86458333333333</v>
      </c>
      <c r="E28" s="44">
        <v>96.462088368086967</v>
      </c>
      <c r="F28" s="44">
        <v>97.600296065063318</v>
      </c>
      <c r="G28" s="145">
        <v>33.900805665758888</v>
      </c>
    </row>
    <row r="29" spans="1:7" ht="18.75">
      <c r="A29" s="178"/>
      <c r="B29" s="21" t="s">
        <v>17</v>
      </c>
      <c r="C29" s="131">
        <v>0.53292763680477451</v>
      </c>
      <c r="D29" s="33">
        <v>1.509315906562847</v>
      </c>
      <c r="E29" s="34">
        <v>5.9228491628322321E-3</v>
      </c>
      <c r="F29" s="34">
        <v>5.9228491628322321E-3</v>
      </c>
      <c r="G29" s="132">
        <v>-9.5537169476951456E-2</v>
      </c>
    </row>
    <row r="30" spans="1:7">
      <c r="A30" s="178"/>
      <c r="B30" s="22" t="s">
        <v>18</v>
      </c>
      <c r="C30" s="133">
        <v>5.2778207919173717E-2</v>
      </c>
      <c r="D30" s="37">
        <v>0.83099743303702822</v>
      </c>
      <c r="E30" s="49">
        <v>0.99304770849384028</v>
      </c>
      <c r="F30" s="49">
        <v>0.99304770849384028</v>
      </c>
      <c r="G30" s="134">
        <v>0.82968451377093755</v>
      </c>
    </row>
    <row r="31" spans="1:7" ht="18.75">
      <c r="A31" s="178"/>
      <c r="B31" s="23" t="s">
        <v>19</v>
      </c>
      <c r="C31" s="78">
        <v>9.5627101646728754</v>
      </c>
      <c r="D31" s="38">
        <v>121.23506788280544</v>
      </c>
      <c r="E31" s="112">
        <v>92.030089795713678</v>
      </c>
      <c r="F31" s="10">
        <v>97.125896123438878</v>
      </c>
      <c r="G31" s="113">
        <v>32.171529899476333</v>
      </c>
    </row>
    <row r="32" spans="1:7" ht="18.75">
      <c r="A32" s="178"/>
      <c r="B32" s="21" t="s">
        <v>20</v>
      </c>
      <c r="C32" s="135">
        <v>0.86113504444444366</v>
      </c>
      <c r="D32" s="10">
        <v>-0.5165696491211017</v>
      </c>
      <c r="E32" s="11">
        <v>-4.4319985723732884</v>
      </c>
      <c r="F32" s="10">
        <v>-0.48606403950680144</v>
      </c>
      <c r="G32" s="115">
        <v>-1.7292757662825551</v>
      </c>
    </row>
    <row r="33" spans="1:15" ht="16.5" thickBot="1">
      <c r="A33" s="179"/>
      <c r="B33" s="25" t="s">
        <v>21</v>
      </c>
      <c r="C33" s="146">
        <v>4.1949044560043097E-4</v>
      </c>
      <c r="D33" s="46">
        <v>0.94156970611692736</v>
      </c>
      <c r="E33" s="117">
        <v>8.4250550259945068E-4</v>
      </c>
      <c r="F33" s="47">
        <v>0.24764437475418055</v>
      </c>
      <c r="G33" s="118">
        <v>5.5216946327767624E-4</v>
      </c>
    </row>
    <row r="34" spans="1:15" ht="18.75">
      <c r="A34" s="177" t="s">
        <v>6</v>
      </c>
      <c r="B34" s="24" t="s">
        <v>16</v>
      </c>
      <c r="C34" s="129">
        <v>18.581972221665914</v>
      </c>
      <c r="D34" s="31">
        <v>77.236249999999998</v>
      </c>
      <c r="E34" s="30">
        <v>91.287087941896004</v>
      </c>
      <c r="F34" s="30">
        <v>80.631637108456459</v>
      </c>
      <c r="G34" s="130">
        <v>6.5718111443731058</v>
      </c>
    </row>
    <row r="35" spans="1:15" ht="18.75">
      <c r="A35" s="178"/>
      <c r="B35" s="21" t="s">
        <v>17</v>
      </c>
      <c r="C35" s="131">
        <v>0.58667593512395544</v>
      </c>
      <c r="D35" s="33">
        <v>-10.3575361512792</v>
      </c>
      <c r="E35" s="34">
        <v>4.354900089059492</v>
      </c>
      <c r="F35" s="34">
        <v>4.354900089059492</v>
      </c>
      <c r="G35" s="132">
        <v>9.2051697331591908E-2</v>
      </c>
    </row>
    <row r="36" spans="1:15">
      <c r="A36" s="178"/>
      <c r="B36" s="22" t="s">
        <v>18</v>
      </c>
      <c r="C36" s="133">
        <v>8.3783544145560399E-2</v>
      </c>
      <c r="D36" s="37">
        <v>0.10796554987742424</v>
      </c>
      <c r="E36" s="37">
        <v>0.12527052434830921</v>
      </c>
      <c r="F36" s="37">
        <v>0.12527052434830921</v>
      </c>
      <c r="G36" s="134">
        <v>0.71277373635217489</v>
      </c>
    </row>
    <row r="37" spans="1:15" ht="18.75">
      <c r="A37" s="178"/>
      <c r="B37" s="23" t="s">
        <v>19</v>
      </c>
      <c r="C37" s="78">
        <v>19.649490888332579</v>
      </c>
      <c r="D37" s="38">
        <v>74.015538165768007</v>
      </c>
      <c r="E37" s="112">
        <v>88.299200457287611</v>
      </c>
      <c r="F37" s="10">
        <v>82.752527204502698</v>
      </c>
      <c r="G37" s="113">
        <v>6.5310179904023586</v>
      </c>
    </row>
    <row r="38" spans="1:15" ht="18.75">
      <c r="A38" s="178"/>
      <c r="B38" s="21" t="s">
        <v>20</v>
      </c>
      <c r="C38" s="135">
        <v>1.0675186666666647</v>
      </c>
      <c r="D38" s="10">
        <v>-4.1699484817452817</v>
      </c>
      <c r="E38" s="11">
        <v>-2.9878874846083932</v>
      </c>
      <c r="F38" s="10">
        <v>2.630344827543881</v>
      </c>
      <c r="G38" s="115">
        <v>-4.079315397074712E-2</v>
      </c>
    </row>
    <row r="39" spans="1:15" ht="16.5" thickBot="1">
      <c r="A39" s="179"/>
      <c r="B39" s="25" t="s">
        <v>21</v>
      </c>
      <c r="C39" s="149">
        <v>3.2403388085953906E-4</v>
      </c>
      <c r="D39" s="48">
        <v>0.64592346762946129</v>
      </c>
      <c r="E39" s="121">
        <v>1.459184630397892E-3</v>
      </c>
      <c r="F39" s="43">
        <v>0.58362128269582869</v>
      </c>
      <c r="G39" s="122">
        <v>0.89786824049810787</v>
      </c>
    </row>
    <row r="40" spans="1:15" ht="18.75">
      <c r="A40" s="180" t="s">
        <v>7</v>
      </c>
      <c r="B40" s="20" t="s">
        <v>16</v>
      </c>
      <c r="C40" s="144">
        <v>20.484489242594737</v>
      </c>
      <c r="D40" s="45">
        <v>70.023750000000007</v>
      </c>
      <c r="E40" s="44">
        <v>95.086995392351497</v>
      </c>
      <c r="F40" s="44">
        <v>78.839881128905986</v>
      </c>
      <c r="G40" s="145">
        <v>5.2599497695026987</v>
      </c>
    </row>
    <row r="41" spans="1:15" ht="18.75">
      <c r="A41" s="178"/>
      <c r="B41" s="21" t="s">
        <v>17</v>
      </c>
      <c r="C41" s="131">
        <v>1.0752502698979438</v>
      </c>
      <c r="D41" s="33">
        <v>-3.0908509454949935</v>
      </c>
      <c r="E41" s="34">
        <v>1.4745734759588887</v>
      </c>
      <c r="F41" s="34">
        <v>1.4745734759588887</v>
      </c>
      <c r="G41" s="132">
        <v>0.22278270397062583</v>
      </c>
    </row>
    <row r="42" spans="1:15">
      <c r="A42" s="178"/>
      <c r="B42" s="22" t="s">
        <v>18</v>
      </c>
      <c r="C42" s="133">
        <v>7.7918416150310672E-4</v>
      </c>
      <c r="D42" s="37">
        <v>0.6601972965095223</v>
      </c>
      <c r="E42" s="49">
        <v>0.6299918219839713</v>
      </c>
      <c r="F42" s="49">
        <v>0.6299918219839713</v>
      </c>
      <c r="G42" s="134">
        <v>0.31536988264183008</v>
      </c>
    </row>
    <row r="43" spans="1:15" ht="18.75">
      <c r="A43" s="178"/>
      <c r="B43" s="23" t="s">
        <v>19</v>
      </c>
      <c r="C43" s="78">
        <v>21.289353809261399</v>
      </c>
      <c r="D43" s="38">
        <v>65.194548001785776</v>
      </c>
      <c r="E43" s="112">
        <v>98.579054927506249</v>
      </c>
      <c r="F43" s="10">
        <v>81.487212152087608</v>
      </c>
      <c r="G43" s="113">
        <v>5.6202087835511554</v>
      </c>
    </row>
    <row r="44" spans="1:15" ht="18.75">
      <c r="A44" s="178"/>
      <c r="B44" s="21" t="s">
        <v>20</v>
      </c>
      <c r="C44" s="135">
        <v>0.80486456666666228</v>
      </c>
      <c r="D44" s="10">
        <v>-6.8965201066984196</v>
      </c>
      <c r="E44" s="11">
        <v>3.4920595351547519</v>
      </c>
      <c r="F44" s="10">
        <v>3.3578577051037737</v>
      </c>
      <c r="G44" s="137">
        <v>0.36025901404845673</v>
      </c>
    </row>
    <row r="45" spans="1:15" ht="16.5" thickBot="1">
      <c r="A45" s="179"/>
      <c r="B45" s="25" t="s">
        <v>21</v>
      </c>
      <c r="C45" s="149">
        <v>2.0581389943858216E-2</v>
      </c>
      <c r="D45" s="48">
        <v>0.5372298693312334</v>
      </c>
      <c r="E45" s="121">
        <v>3.540963358963118E-2</v>
      </c>
      <c r="F45" s="43">
        <v>0.48233300990160721</v>
      </c>
      <c r="G45" s="143">
        <v>0.20227717482864471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20.087728491124281</v>
      </c>
      <c r="E49" s="100">
        <f>C5</f>
        <v>1.00782679065895</v>
      </c>
      <c r="F49" s="97">
        <f>C6</f>
        <v>7.8227683122391304E-5</v>
      </c>
      <c r="G49" s="100">
        <f>C7</f>
        <v>21.086189341124285</v>
      </c>
      <c r="H49" s="100">
        <f>C8</f>
        <v>0.99846085000000429</v>
      </c>
      <c r="I49" s="97">
        <f>C9</f>
        <v>2.4460589268263857E-3</v>
      </c>
    </row>
    <row r="50" spans="1:9">
      <c r="A50" s="65">
        <v>26</v>
      </c>
      <c r="B50" s="98">
        <v>13</v>
      </c>
      <c r="C50" s="99">
        <v>52</v>
      </c>
      <c r="D50" s="100">
        <f>D4</f>
        <v>125.02</v>
      </c>
      <c r="E50" s="100">
        <f>D5</f>
        <v>-4.8728587319243601</v>
      </c>
      <c r="F50" s="97">
        <f>D6</f>
        <v>0.6199050725006181</v>
      </c>
      <c r="G50" s="100">
        <f>D7</f>
        <v>119.34433012156293</v>
      </c>
      <c r="H50" s="100">
        <f>D8</f>
        <v>-4.5398095332243367</v>
      </c>
      <c r="I50" s="97">
        <f>D9</f>
        <v>0.61222560609379983</v>
      </c>
    </row>
    <row r="51" spans="1:9">
      <c r="A51" s="65">
        <v>26</v>
      </c>
      <c r="B51" s="98">
        <v>13</v>
      </c>
      <c r="C51" s="99">
        <v>54</v>
      </c>
      <c r="D51" s="100">
        <f>E4</f>
        <v>89.35708193229695</v>
      </c>
      <c r="E51" s="100">
        <f>E5</f>
        <v>-7.2019737322419508E-2</v>
      </c>
      <c r="F51" s="97">
        <f>E6</f>
        <v>0.92912751492333789</v>
      </c>
      <c r="G51" s="100">
        <f>E7</f>
        <v>85.518478597989159</v>
      </c>
      <c r="H51" s="100">
        <f>E8</f>
        <v>-3.8386033343077912</v>
      </c>
      <c r="I51" s="97">
        <f>E9</f>
        <v>2.5107758663562095E-2</v>
      </c>
    </row>
    <row r="52" spans="1:9">
      <c r="A52" s="65">
        <v>26</v>
      </c>
      <c r="B52" s="98">
        <v>13</v>
      </c>
      <c r="C52" s="101">
        <v>55</v>
      </c>
      <c r="D52" s="100">
        <f>F4</f>
        <v>97.825226918232104</v>
      </c>
      <c r="E52" s="100">
        <f>F5</f>
        <v>-7.2019737322419508E-2</v>
      </c>
      <c r="F52" s="97">
        <f>F6</f>
        <v>0.92912751492333789</v>
      </c>
      <c r="G52" s="100">
        <f>F7</f>
        <v>98.683644938464809</v>
      </c>
      <c r="H52" s="100">
        <f>F8</f>
        <v>0.87750169079620111</v>
      </c>
      <c r="I52" s="97">
        <f>F9</f>
        <v>0.29067202360574251</v>
      </c>
    </row>
    <row r="53" spans="1:9">
      <c r="A53" s="65">
        <v>26</v>
      </c>
      <c r="B53" s="98">
        <v>13</v>
      </c>
      <c r="C53" s="101">
        <v>56</v>
      </c>
      <c r="D53" s="100">
        <f>G4</f>
        <v>6.1228445848040485</v>
      </c>
      <c r="E53" s="100">
        <f>G5</f>
        <v>-0.55301356980659533</v>
      </c>
      <c r="F53" s="97">
        <f>G6</f>
        <v>7.8539339435289843E-4</v>
      </c>
      <c r="G53" s="100">
        <f>G7</f>
        <v>5.9231411422363456</v>
      </c>
      <c r="H53" s="100">
        <f>G8</f>
        <v>-0.19970344256770289</v>
      </c>
      <c r="I53" s="97">
        <f>G9</f>
        <v>0.15061477149234426</v>
      </c>
    </row>
    <row r="54" spans="1:9">
      <c r="A54" s="65">
        <v>26</v>
      </c>
      <c r="B54" s="98">
        <v>14</v>
      </c>
      <c r="C54" s="99">
        <v>51</v>
      </c>
      <c r="D54" s="100">
        <f>C10</f>
        <v>11.280259856686335</v>
      </c>
      <c r="E54" s="100">
        <f>C11</f>
        <v>0.18704459583995137</v>
      </c>
      <c r="F54" s="97">
        <f>C12</f>
        <v>0.38982964656929586</v>
      </c>
      <c r="G54" s="100">
        <f>C13</f>
        <v>12.949048023353003</v>
      </c>
      <c r="H54" s="100">
        <f>C14</f>
        <v>1.6687881666666673</v>
      </c>
      <c r="I54" s="97">
        <f>C15</f>
        <v>2.5577990965392123E-6</v>
      </c>
    </row>
    <row r="55" spans="1:9">
      <c r="A55" s="65">
        <v>26</v>
      </c>
      <c r="B55" s="98">
        <v>14</v>
      </c>
      <c r="C55" s="99">
        <v>52</v>
      </c>
      <c r="D55" s="100">
        <f>D10</f>
        <v>97.362499999999997</v>
      </c>
      <c r="E55" s="100">
        <f>D11</f>
        <v>12.790044493882093</v>
      </c>
      <c r="F55" s="97">
        <f>D12</f>
        <v>0.14858321991078727</v>
      </c>
      <c r="G55" s="100">
        <f>D13</f>
        <v>92.712994289661012</v>
      </c>
      <c r="H55" s="100">
        <f>D14</f>
        <v>-4.7754584263335325</v>
      </c>
      <c r="I55" s="97">
        <f>D15</f>
        <v>0.61267574324633467</v>
      </c>
    </row>
    <row r="56" spans="1:9">
      <c r="A56" s="65">
        <v>26</v>
      </c>
      <c r="B56" s="98">
        <v>14</v>
      </c>
      <c r="C56" s="99">
        <v>54</v>
      </c>
      <c r="D56" s="100">
        <f>E10</f>
        <v>96.199438563494354</v>
      </c>
      <c r="E56" s="100">
        <f>E11</f>
        <v>4.6405262264447824</v>
      </c>
      <c r="F56" s="97">
        <f>E12</f>
        <v>4.1930433225974499E-2</v>
      </c>
      <c r="G56" s="100">
        <f>E13</f>
        <v>99.192959044979801</v>
      </c>
      <c r="H56" s="100">
        <f>E14</f>
        <v>2.9935204814854472</v>
      </c>
      <c r="I56" s="97">
        <f>E15</f>
        <v>4.1328064449812785E-3</v>
      </c>
    </row>
    <row r="57" spans="1:9">
      <c r="A57" s="65">
        <v>26</v>
      </c>
      <c r="B57" s="98">
        <v>14</v>
      </c>
      <c r="C57" s="101">
        <v>55</v>
      </c>
      <c r="D57" s="100">
        <f>F10</f>
        <v>88.917015434329997</v>
      </c>
      <c r="E57" s="100">
        <f>F11</f>
        <v>4.6405262264447824</v>
      </c>
      <c r="F57" s="97">
        <f>F12</f>
        <v>4.1930433225974499E-2</v>
      </c>
      <c r="G57" s="100">
        <f>F13</f>
        <v>88.00955889092269</v>
      </c>
      <c r="H57" s="100">
        <f>F14</f>
        <v>-1.0205656802296941</v>
      </c>
      <c r="I57" s="97">
        <f>F15</f>
        <v>0.62143614315880447</v>
      </c>
    </row>
    <row r="58" spans="1:9">
      <c r="A58" s="65">
        <v>26</v>
      </c>
      <c r="B58" s="98">
        <v>14</v>
      </c>
      <c r="C58" s="101">
        <v>56</v>
      </c>
      <c r="D58" s="100">
        <f>G10</f>
        <v>5.9841263479158782</v>
      </c>
      <c r="E58" s="100">
        <f>G11</f>
        <v>0.341969203417964</v>
      </c>
      <c r="F58" s="97">
        <f>G12</f>
        <v>2.6447758644833484E-2</v>
      </c>
      <c r="G58" s="100">
        <f>G13</f>
        <v>6.1026736421578551</v>
      </c>
      <c r="H58" s="100">
        <f>G14</f>
        <v>0.11854729424197696</v>
      </c>
      <c r="I58" s="97">
        <f>G15</f>
        <v>0.45202773048073064</v>
      </c>
    </row>
    <row r="59" spans="1:9">
      <c r="A59" s="65">
        <v>26</v>
      </c>
      <c r="B59" s="98">
        <v>15</v>
      </c>
      <c r="C59" s="99">
        <v>51</v>
      </c>
      <c r="D59" s="100">
        <f>C16</f>
        <v>2.0117083353414711</v>
      </c>
      <c r="E59" s="100">
        <f>C17</f>
        <v>1.2932656689166802</v>
      </c>
      <c r="F59" s="97">
        <f>C18</f>
        <v>3.1107881117431572E-2</v>
      </c>
      <c r="G59" s="100">
        <f>C19</f>
        <v>3.1158098353414712</v>
      </c>
      <c r="H59" s="100">
        <f>C20</f>
        <v>1.1041015000000001</v>
      </c>
      <c r="I59" s="97">
        <f>C21</f>
        <v>1.9608121916568248E-2</v>
      </c>
    </row>
    <row r="60" spans="1:9">
      <c r="A60" s="65">
        <v>26</v>
      </c>
      <c r="B60" s="98">
        <v>15</v>
      </c>
      <c r="C60" s="99">
        <v>52</v>
      </c>
      <c r="D60" s="100">
        <f>D16</f>
        <v>41.889583333333334</v>
      </c>
      <c r="E60" s="100">
        <f>D17</f>
        <v>1.4169911012235801</v>
      </c>
      <c r="F60" s="97">
        <f>D18</f>
        <v>0.72057067809250275</v>
      </c>
      <c r="G60" s="100">
        <f>D19</f>
        <v>38.816805232922661</v>
      </c>
      <c r="H60" s="100">
        <f>D20</f>
        <v>-7.3354229283191046</v>
      </c>
      <c r="I60" s="97">
        <f>D21</f>
        <v>0.50402451798020942</v>
      </c>
    </row>
    <row r="61" spans="1:9">
      <c r="A61" s="65">
        <v>26</v>
      </c>
      <c r="B61" s="98">
        <v>15</v>
      </c>
      <c r="C61" s="99">
        <v>54</v>
      </c>
      <c r="D61" s="100">
        <f>E16</f>
        <v>85.783781706591284</v>
      </c>
      <c r="E61" s="100">
        <f>E17</f>
        <v>3.9287766043607162</v>
      </c>
      <c r="F61" s="97">
        <f>E18</f>
        <v>0.23835369125383976</v>
      </c>
      <c r="G61" s="100">
        <f>E19</f>
        <v>87.653592280168468</v>
      </c>
      <c r="H61" s="100">
        <f>E20</f>
        <v>1.8698105735771833</v>
      </c>
      <c r="I61" s="97">
        <f>E21</f>
        <v>0.21583756135325372</v>
      </c>
    </row>
    <row r="62" spans="1:9">
      <c r="A62" s="65">
        <v>26</v>
      </c>
      <c r="B62" s="98">
        <v>15</v>
      </c>
      <c r="C62" s="101">
        <v>55</v>
      </c>
      <c r="D62" s="102">
        <f>F16</f>
        <v>73.656546705800125</v>
      </c>
      <c r="E62" s="100">
        <f>F17</f>
        <v>3.9287766043607162</v>
      </c>
      <c r="F62" s="97">
        <f>F18</f>
        <v>0.23835369125383976</v>
      </c>
      <c r="G62" s="100">
        <f>F19</f>
        <v>72.203987741890771</v>
      </c>
      <c r="H62" s="100">
        <f>F20</f>
        <v>-1.9720704117601235</v>
      </c>
      <c r="I62" s="97">
        <f>F21</f>
        <v>0.56451123794014024</v>
      </c>
    </row>
    <row r="63" spans="1:9">
      <c r="A63" s="65">
        <v>26</v>
      </c>
      <c r="B63" s="98">
        <v>15</v>
      </c>
      <c r="C63" s="101">
        <v>56</v>
      </c>
      <c r="D63" s="102">
        <f>G16</f>
        <v>3.1620579834617994</v>
      </c>
      <c r="E63" s="100">
        <f>G17</f>
        <v>0.20927330343160624</v>
      </c>
      <c r="F63" s="97">
        <f>G18</f>
        <v>0.21384107655539852</v>
      </c>
      <c r="G63" s="100">
        <f>G19</f>
        <v>3.1741275859973892</v>
      </c>
      <c r="H63" s="100">
        <f>G20</f>
        <v>1.2069602535589752E-2</v>
      </c>
      <c r="I63" s="97">
        <f>G21</f>
        <v>0.93615143872788975</v>
      </c>
    </row>
    <row r="64" spans="1:9">
      <c r="A64" s="65">
        <v>26</v>
      </c>
      <c r="B64" s="98">
        <v>16</v>
      </c>
      <c r="C64" s="99">
        <v>51</v>
      </c>
      <c r="D64" s="100">
        <f>C22</f>
        <v>-3.0728454676181345</v>
      </c>
      <c r="E64" s="103">
        <f>C23</f>
        <v>0.40159011529975308</v>
      </c>
      <c r="F64" s="104">
        <f>C24</f>
        <v>0.41214309424169648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104.74708333333334</v>
      </c>
      <c r="E65" s="103">
        <f>D23</f>
        <v>0.66065072302558381</v>
      </c>
      <c r="F65" s="104">
        <f>D24</f>
        <v>0.93226443990153463</v>
      </c>
      <c r="G65" s="100">
        <f>D25</f>
        <v>118.38847938588658</v>
      </c>
      <c r="H65" s="100">
        <f>D26</f>
        <v>13.023175078911429</v>
      </c>
      <c r="I65" s="97">
        <f>D27</f>
        <v>6.0001954884184146E-2</v>
      </c>
    </row>
    <row r="66" spans="1:9">
      <c r="A66" s="65">
        <v>26</v>
      </c>
      <c r="B66" s="98">
        <v>16</v>
      </c>
      <c r="C66" s="99">
        <v>54</v>
      </c>
      <c r="D66" s="100">
        <f>E22</f>
        <v>90.172598994340007</v>
      </c>
      <c r="E66" s="103">
        <f>E23</f>
        <v>-1.1906004995687292</v>
      </c>
      <c r="F66" s="104">
        <f>E24</f>
        <v>0.19273226529817966</v>
      </c>
      <c r="G66" s="100">
        <f>E25</f>
        <v>89.10434747301656</v>
      </c>
      <c r="H66" s="100">
        <f>E26</f>
        <v>-1.0682515213234467</v>
      </c>
      <c r="I66" s="97">
        <f>E27</f>
        <v>0.53434741292704135</v>
      </c>
    </row>
    <row r="67" spans="1:9">
      <c r="A67" s="65">
        <v>26</v>
      </c>
      <c r="B67" s="98">
        <v>16</v>
      </c>
      <c r="C67" s="101">
        <v>55</v>
      </c>
      <c r="D67" s="105">
        <f>F22</f>
        <v>95.330602761235383</v>
      </c>
      <c r="E67" s="106">
        <f>F23</f>
        <v>-1.1906004995687292</v>
      </c>
      <c r="F67" s="107">
        <f>F24</f>
        <v>0.19273226529817966</v>
      </c>
      <c r="G67" s="100">
        <f>F25</f>
        <v>95.140329445360678</v>
      </c>
      <c r="H67" s="100">
        <f>F26</f>
        <v>-0.19959311109283301</v>
      </c>
      <c r="I67" s="97">
        <f>F27</f>
        <v>0.67397387405841669</v>
      </c>
    </row>
    <row r="68" spans="1:9">
      <c r="A68" s="65">
        <v>26</v>
      </c>
      <c r="B68" s="98">
        <v>16</v>
      </c>
      <c r="C68" s="101">
        <v>56</v>
      </c>
      <c r="D68" s="108">
        <f>G22</f>
        <v>24.900588999551058</v>
      </c>
      <c r="E68" s="100">
        <f>G23</f>
        <v>0.34926051843834477</v>
      </c>
      <c r="F68" s="97">
        <f>G24</f>
        <v>0.66255868070958623</v>
      </c>
      <c r="G68" s="100">
        <f>G25</f>
        <v>24.535525442080193</v>
      </c>
      <c r="H68" s="100">
        <f>G23</f>
        <v>0.34926051843834477</v>
      </c>
      <c r="I68" s="97">
        <f>G24</f>
        <v>0.66255868070958623</v>
      </c>
    </row>
    <row r="69" spans="1:9">
      <c r="A69" s="65">
        <v>26</v>
      </c>
      <c r="B69" s="98">
        <v>17</v>
      </c>
      <c r="C69" s="99">
        <v>51</v>
      </c>
      <c r="D69" s="100">
        <f>C28</f>
        <v>8.7015751202284317</v>
      </c>
      <c r="E69" s="103">
        <f>C29</f>
        <v>0.53292763680477451</v>
      </c>
      <c r="F69" s="104">
        <f>C30</f>
        <v>5.2778207919173717E-2</v>
      </c>
      <c r="G69" s="100">
        <f>C31</f>
        <v>9.5627101646728754</v>
      </c>
      <c r="H69" s="100">
        <f>C32</f>
        <v>0.86113504444444366</v>
      </c>
      <c r="I69" s="97">
        <f>C33</f>
        <v>4.1949044560043097E-4</v>
      </c>
    </row>
    <row r="70" spans="1:9">
      <c r="A70" s="65">
        <v>26</v>
      </c>
      <c r="B70" s="98">
        <v>17</v>
      </c>
      <c r="C70" s="99">
        <v>52</v>
      </c>
      <c r="D70" s="100">
        <f>D28</f>
        <v>121.86458333333333</v>
      </c>
      <c r="E70" s="103">
        <f>D29</f>
        <v>1.509315906562847</v>
      </c>
      <c r="F70" s="104">
        <f>D30</f>
        <v>0.83099743303702822</v>
      </c>
      <c r="G70" s="100">
        <f>D31</f>
        <v>121.23506788280544</v>
      </c>
      <c r="H70" s="100">
        <f>D32</f>
        <v>-0.5165696491211017</v>
      </c>
      <c r="I70" s="97">
        <f>D33</f>
        <v>0.94156970611692736</v>
      </c>
    </row>
    <row r="71" spans="1:9">
      <c r="A71" s="65">
        <v>26</v>
      </c>
      <c r="B71" s="98">
        <v>17</v>
      </c>
      <c r="C71" s="99">
        <v>54</v>
      </c>
      <c r="D71" s="100">
        <f>E28</f>
        <v>96.462088368086967</v>
      </c>
      <c r="E71" s="103">
        <f>E29</f>
        <v>5.9228491628322321E-3</v>
      </c>
      <c r="F71" s="104">
        <f>E30</f>
        <v>0.99304770849384028</v>
      </c>
      <c r="G71" s="100">
        <f>E31</f>
        <v>92.030089795713678</v>
      </c>
      <c r="H71" s="100">
        <f>E32</f>
        <v>-4.4319985723732884</v>
      </c>
      <c r="I71" s="97">
        <f>E33</f>
        <v>8.4250550259945068E-4</v>
      </c>
    </row>
    <row r="72" spans="1:9">
      <c r="A72" s="65">
        <v>26</v>
      </c>
      <c r="B72" s="98">
        <v>17</v>
      </c>
      <c r="C72" s="101">
        <v>55</v>
      </c>
      <c r="D72" s="105">
        <f>F28</f>
        <v>97.600296065063318</v>
      </c>
      <c r="E72" s="106">
        <f>F29</f>
        <v>5.9228491628322321E-3</v>
      </c>
      <c r="F72" s="107">
        <f>F30</f>
        <v>0.99304770849384028</v>
      </c>
      <c r="G72" s="100">
        <f>F31</f>
        <v>97.125896123438878</v>
      </c>
      <c r="H72" s="100">
        <f>F32</f>
        <v>-0.48606403950680144</v>
      </c>
      <c r="I72" s="97">
        <f>F33</f>
        <v>0.24764437475418055</v>
      </c>
    </row>
    <row r="73" spans="1:9">
      <c r="A73" s="65">
        <v>26</v>
      </c>
      <c r="B73" s="98">
        <v>17</v>
      </c>
      <c r="C73" s="101">
        <v>56</v>
      </c>
      <c r="D73" s="108">
        <f>G28</f>
        <v>33.900805665758888</v>
      </c>
      <c r="E73" s="100">
        <f>G29</f>
        <v>-9.5537169476951456E-2</v>
      </c>
      <c r="F73" s="97">
        <f>G30</f>
        <v>0.82968451377093755</v>
      </c>
      <c r="G73" s="100">
        <f>G31</f>
        <v>32.171529899476333</v>
      </c>
      <c r="H73" s="100">
        <f>G32</f>
        <v>-1.7292757662825551</v>
      </c>
      <c r="I73" s="97">
        <f>G33</f>
        <v>5.5216946327767624E-4</v>
      </c>
    </row>
    <row r="74" spans="1:9">
      <c r="A74" s="65">
        <v>26</v>
      </c>
      <c r="B74" s="98">
        <v>18</v>
      </c>
      <c r="C74" s="99">
        <v>51</v>
      </c>
      <c r="D74" s="100">
        <f>C34</f>
        <v>18.581972221665914</v>
      </c>
      <c r="E74" s="103">
        <f>C35</f>
        <v>0.58667593512395544</v>
      </c>
      <c r="F74" s="104">
        <f>C36</f>
        <v>8.3783544145560399E-2</v>
      </c>
      <c r="G74" s="100">
        <f>C37</f>
        <v>19.649490888332579</v>
      </c>
      <c r="H74" s="100">
        <f>C38</f>
        <v>1.0675186666666647</v>
      </c>
      <c r="I74" s="97">
        <f>C39</f>
        <v>3.2403388085953906E-4</v>
      </c>
    </row>
    <row r="75" spans="1:9">
      <c r="A75" s="65">
        <v>26</v>
      </c>
      <c r="B75" s="98">
        <v>18</v>
      </c>
      <c r="C75" s="99">
        <v>52</v>
      </c>
      <c r="D75" s="100">
        <f>D34</f>
        <v>77.236249999999998</v>
      </c>
      <c r="E75" s="103">
        <f>D35</f>
        <v>-10.3575361512792</v>
      </c>
      <c r="F75" s="104">
        <f>D36</f>
        <v>0.10796554987742424</v>
      </c>
      <c r="G75" s="100">
        <f>D37</f>
        <v>74.015538165768007</v>
      </c>
      <c r="H75" s="100">
        <f>D38</f>
        <v>-4.1699484817452817</v>
      </c>
      <c r="I75" s="97">
        <f>D39</f>
        <v>0.64592346762946129</v>
      </c>
    </row>
    <row r="76" spans="1:9">
      <c r="A76" s="65">
        <v>26</v>
      </c>
      <c r="B76" s="98">
        <v>18</v>
      </c>
      <c r="C76" s="99">
        <v>54</v>
      </c>
      <c r="D76" s="100">
        <f>E34</f>
        <v>91.287087941896004</v>
      </c>
      <c r="E76" s="103">
        <f>E35</f>
        <v>4.354900089059492</v>
      </c>
      <c r="F76" s="104">
        <f>E36</f>
        <v>0.12527052434830921</v>
      </c>
      <c r="G76" s="100">
        <f>E37</f>
        <v>88.299200457287611</v>
      </c>
      <c r="H76" s="100">
        <f>E38</f>
        <v>-2.9878874846083932</v>
      </c>
      <c r="I76" s="97">
        <f>E39</f>
        <v>1.459184630397892E-3</v>
      </c>
    </row>
    <row r="77" spans="1:9">
      <c r="A77" s="65">
        <v>26</v>
      </c>
      <c r="B77" s="98">
        <v>18</v>
      </c>
      <c r="C77" s="101">
        <v>55</v>
      </c>
      <c r="D77" s="105">
        <f>F34</f>
        <v>80.631637108456459</v>
      </c>
      <c r="E77" s="106">
        <f>F35</f>
        <v>4.354900089059492</v>
      </c>
      <c r="F77" s="107">
        <f>F36</f>
        <v>0.12527052434830921</v>
      </c>
      <c r="G77" s="100">
        <f>F37</f>
        <v>82.752527204502698</v>
      </c>
      <c r="H77" s="100">
        <f>F38</f>
        <v>2.630344827543881</v>
      </c>
      <c r="I77" s="97">
        <f>F39</f>
        <v>0.58362128269582869</v>
      </c>
    </row>
    <row r="78" spans="1:9">
      <c r="A78" s="65">
        <v>26</v>
      </c>
      <c r="B78" s="98">
        <v>18</v>
      </c>
      <c r="C78" s="101">
        <v>56</v>
      </c>
      <c r="D78" s="108">
        <f>G34</f>
        <v>6.5718111443731058</v>
      </c>
      <c r="E78" s="100">
        <f>G35</f>
        <v>9.2051697331591908E-2</v>
      </c>
      <c r="F78" s="97">
        <f>G36</f>
        <v>0.71277373635217489</v>
      </c>
      <c r="G78" s="100">
        <f>G37</f>
        <v>6.5310179904023586</v>
      </c>
      <c r="H78" s="100">
        <f>G38</f>
        <v>-4.079315397074712E-2</v>
      </c>
      <c r="I78" s="97">
        <f>G39</f>
        <v>0.89786824049810787</v>
      </c>
    </row>
    <row r="79" spans="1:9">
      <c r="A79" s="65">
        <v>26</v>
      </c>
      <c r="B79" s="98">
        <v>19</v>
      </c>
      <c r="C79" s="99">
        <v>51</v>
      </c>
      <c r="D79" s="100">
        <f>C40</f>
        <v>20.484489242594737</v>
      </c>
      <c r="E79" s="103">
        <f>C41</f>
        <v>1.0752502698979438</v>
      </c>
      <c r="F79" s="104">
        <f>C42</f>
        <v>7.7918416150310672E-4</v>
      </c>
      <c r="G79" s="100">
        <f>C43</f>
        <v>21.289353809261399</v>
      </c>
      <c r="H79" s="100">
        <f>C44</f>
        <v>0.80486456666666228</v>
      </c>
      <c r="I79" s="97">
        <f>C45</f>
        <v>2.0581389943858216E-2</v>
      </c>
    </row>
    <row r="80" spans="1:9">
      <c r="A80" s="65">
        <v>26</v>
      </c>
      <c r="B80" s="98">
        <v>19</v>
      </c>
      <c r="C80" s="99">
        <v>52</v>
      </c>
      <c r="D80" s="100">
        <f>D40</f>
        <v>70.023750000000007</v>
      </c>
      <c r="E80" s="100">
        <f>D41</f>
        <v>-3.0908509454949935</v>
      </c>
      <c r="F80" s="104">
        <f>D42</f>
        <v>0.6601972965095223</v>
      </c>
      <c r="G80" s="100">
        <f>D43</f>
        <v>65.194548001785776</v>
      </c>
      <c r="H80" s="100">
        <f>D44</f>
        <v>-6.8965201066984196</v>
      </c>
      <c r="I80" s="97">
        <f>D45</f>
        <v>0.5372298693312334</v>
      </c>
    </row>
    <row r="81" spans="1:9">
      <c r="A81" s="65">
        <v>26</v>
      </c>
      <c r="B81" s="98">
        <v>19</v>
      </c>
      <c r="C81" s="99">
        <v>54</v>
      </c>
      <c r="D81" s="100">
        <f>E40</f>
        <v>95.086995392351497</v>
      </c>
      <c r="E81" s="103">
        <f>E41</f>
        <v>1.4745734759588887</v>
      </c>
      <c r="F81" s="104">
        <f>E42</f>
        <v>0.6299918219839713</v>
      </c>
      <c r="G81" s="100">
        <f>E43</f>
        <v>98.579054927506249</v>
      </c>
      <c r="H81" s="100">
        <f>E44</f>
        <v>3.4920595351547519</v>
      </c>
      <c r="I81" s="97">
        <f>E45</f>
        <v>3.540963358963118E-2</v>
      </c>
    </row>
    <row r="82" spans="1:9">
      <c r="A82" s="65">
        <v>26</v>
      </c>
      <c r="B82" s="98">
        <v>19</v>
      </c>
      <c r="C82" s="101">
        <v>55</v>
      </c>
      <c r="D82" s="105">
        <f>F40</f>
        <v>78.839881128905986</v>
      </c>
      <c r="E82" s="106">
        <f>F41</f>
        <v>1.4745734759588887</v>
      </c>
      <c r="F82" s="107">
        <f>F42</f>
        <v>0.6299918219839713</v>
      </c>
      <c r="G82" s="100">
        <f>F43</f>
        <v>81.487212152087608</v>
      </c>
      <c r="H82" s="100">
        <f>F44</f>
        <v>3.3578577051037737</v>
      </c>
      <c r="I82" s="97">
        <f>F45</f>
        <v>0.48233300990160721</v>
      </c>
    </row>
    <row r="83" spans="1:9">
      <c r="A83" s="65">
        <v>26</v>
      </c>
      <c r="B83" s="98">
        <v>19</v>
      </c>
      <c r="C83" s="101">
        <v>56</v>
      </c>
      <c r="D83" s="108">
        <f>G40</f>
        <v>5.2599497695026987</v>
      </c>
      <c r="E83" s="106">
        <f>G41</f>
        <v>0.22278270397062583</v>
      </c>
      <c r="F83" s="109">
        <f>G42</f>
        <v>0.31536988264183008</v>
      </c>
      <c r="G83" s="100">
        <f>G43</f>
        <v>5.6202087835511554</v>
      </c>
      <c r="H83" s="100">
        <f>G44</f>
        <v>0.36025901404845673</v>
      </c>
      <c r="I83" s="97">
        <f>G45</f>
        <v>0.20227717482864471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5"/>
  <dimension ref="A1:O83"/>
  <sheetViews>
    <sheetView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19.523440848883755</v>
      </c>
      <c r="D4" s="31">
        <v>170.82266700162242</v>
      </c>
      <c r="E4" s="30">
        <v>93.306014005567576</v>
      </c>
      <c r="F4" s="30">
        <v>95.237310174478154</v>
      </c>
      <c r="G4" s="130">
        <v>6.2197514385873651</v>
      </c>
    </row>
    <row r="5" spans="1:8" ht="18.75">
      <c r="A5" s="178"/>
      <c r="B5" s="21" t="s">
        <v>17</v>
      </c>
      <c r="C5" s="131">
        <v>0.11119152607153024</v>
      </c>
      <c r="D5" s="33">
        <v>27.110167369432993</v>
      </c>
      <c r="E5" s="34">
        <v>-1.9397095201243864</v>
      </c>
      <c r="F5" s="34">
        <v>-1.9397095201243864</v>
      </c>
      <c r="G5" s="132">
        <v>-0.49598888403487434</v>
      </c>
    </row>
    <row r="6" spans="1:8">
      <c r="A6" s="178"/>
      <c r="B6" s="22" t="s">
        <v>18</v>
      </c>
      <c r="C6" s="133">
        <v>2.9023033156184432E-7</v>
      </c>
      <c r="D6" s="37">
        <v>5.9587974268128029E-2</v>
      </c>
      <c r="E6" s="37">
        <v>9.7542773850446365E-2</v>
      </c>
      <c r="F6" s="37">
        <v>9.7542773850446365E-2</v>
      </c>
      <c r="G6" s="134">
        <v>7.0215111515449767E-6</v>
      </c>
    </row>
    <row r="7" spans="1:8" ht="18.75">
      <c r="A7" s="178"/>
      <c r="B7" s="23" t="s">
        <v>19</v>
      </c>
      <c r="C7" s="78">
        <v>20.540160715550421</v>
      </c>
      <c r="D7" s="38">
        <v>155.06401775204722</v>
      </c>
      <c r="E7" s="112">
        <v>91.81997784750142</v>
      </c>
      <c r="F7" s="10">
        <v>98.073559979215489</v>
      </c>
      <c r="G7" s="113">
        <v>6.313214311847843</v>
      </c>
    </row>
    <row r="8" spans="1:8" ht="18.75">
      <c r="A8" s="178"/>
      <c r="B8" s="21" t="s">
        <v>20</v>
      </c>
      <c r="C8" s="135">
        <v>1.0167198666666657</v>
      </c>
      <c r="D8" s="40">
        <v>-9.2251511618335389</v>
      </c>
      <c r="E8" s="136">
        <v>-1.4860361580661561</v>
      </c>
      <c r="F8" s="10">
        <v>2.9780868438443053</v>
      </c>
      <c r="G8" s="137">
        <v>9.3462873260477863E-2</v>
      </c>
    </row>
    <row r="9" spans="1:8" ht="16.5" thickBot="1">
      <c r="A9" s="179"/>
      <c r="B9" s="25" t="s">
        <v>21</v>
      </c>
      <c r="C9" s="146">
        <v>2.5836629746736235E-3</v>
      </c>
      <c r="D9" s="139">
        <v>0.33772787617591093</v>
      </c>
      <c r="E9" s="147">
        <v>0.27580889651986462</v>
      </c>
      <c r="F9" s="47">
        <v>2.2653568988119127E-2</v>
      </c>
      <c r="G9" s="141">
        <v>0.45328806024325941</v>
      </c>
    </row>
    <row r="10" spans="1:8" ht="18.75">
      <c r="A10" s="180" t="s">
        <v>2</v>
      </c>
      <c r="B10" s="20" t="s">
        <v>16</v>
      </c>
      <c r="C10" s="129">
        <v>11.606274189690533</v>
      </c>
      <c r="D10" s="31">
        <v>86.155499998076507</v>
      </c>
      <c r="E10" s="30">
        <v>97.1636645150666</v>
      </c>
      <c r="F10" s="30">
        <v>84.949896476516457</v>
      </c>
      <c r="G10" s="130">
        <v>5.7718852066644395</v>
      </c>
    </row>
    <row r="11" spans="1:8" ht="18.75">
      <c r="A11" s="178"/>
      <c r="B11" s="21" t="s">
        <v>17</v>
      </c>
      <c r="C11" s="131">
        <v>0.10601006099820606</v>
      </c>
      <c r="D11" s="34">
        <v>21.684327011766364</v>
      </c>
      <c r="E11" s="34">
        <v>8.0529525080340996</v>
      </c>
      <c r="F11" s="34">
        <v>8.0529525080340996</v>
      </c>
      <c r="G11" s="132">
        <v>0.53582887886545383</v>
      </c>
    </row>
    <row r="12" spans="1:8">
      <c r="A12" s="178"/>
      <c r="B12" s="22" t="s">
        <v>18</v>
      </c>
      <c r="C12" s="133">
        <v>0.63391290068383666</v>
      </c>
      <c r="D12" s="37">
        <v>1.8781816384003745E-2</v>
      </c>
      <c r="E12" s="37">
        <v>3.9205053873371401E-3</v>
      </c>
      <c r="F12" s="37">
        <v>3.9205053873371401E-3</v>
      </c>
      <c r="G12" s="134">
        <v>4.2117618088888652E-3</v>
      </c>
    </row>
    <row r="13" spans="1:8" ht="18.75">
      <c r="A13" s="178"/>
      <c r="B13" s="23" t="s">
        <v>19</v>
      </c>
      <c r="C13" s="78">
        <v>13.188413923023861</v>
      </c>
      <c r="D13" s="38">
        <v>77.953802347566636</v>
      </c>
      <c r="E13" s="148">
        <v>100.77855320878754</v>
      </c>
      <c r="F13" s="10">
        <v>84.775022431279837</v>
      </c>
      <c r="G13" s="113">
        <v>5.9782639410069196</v>
      </c>
    </row>
    <row r="14" spans="1:8" ht="18.75">
      <c r="A14" s="178"/>
      <c r="B14" s="21" t="s">
        <v>20</v>
      </c>
      <c r="C14" s="135">
        <v>1.582139733333328</v>
      </c>
      <c r="D14" s="10">
        <v>-9.519644887085537</v>
      </c>
      <c r="E14" s="11">
        <v>3.6148886937209426</v>
      </c>
      <c r="F14" s="10">
        <v>-0.20585551306111866</v>
      </c>
      <c r="G14" s="137">
        <v>0.20637873434248011</v>
      </c>
    </row>
    <row r="15" spans="1:8" ht="16.5" thickBot="1">
      <c r="A15" s="181"/>
      <c r="B15" s="26" t="s">
        <v>21</v>
      </c>
      <c r="C15" s="149">
        <v>1.2973726491420383E-5</v>
      </c>
      <c r="D15" s="48">
        <v>0.33437357336491047</v>
      </c>
      <c r="E15" s="121">
        <v>2.2669323012969558E-3</v>
      </c>
      <c r="F15" s="43">
        <v>0.93008742676465495</v>
      </c>
      <c r="G15" s="143">
        <v>0.22557482520717631</v>
      </c>
    </row>
    <row r="16" spans="1:8" ht="18.75">
      <c r="A16" s="177" t="s">
        <v>3</v>
      </c>
      <c r="B16" s="24" t="s">
        <v>16</v>
      </c>
      <c r="C16" s="144">
        <v>2.6707777776444952</v>
      </c>
      <c r="D16" s="45">
        <v>34.09566660821438</v>
      </c>
      <c r="E16" s="44">
        <v>89.547723142041235</v>
      </c>
      <c r="F16" s="44">
        <v>67.352340268106914</v>
      </c>
      <c r="G16" s="145">
        <v>2.9784919431212589</v>
      </c>
    </row>
    <row r="17" spans="1:7" ht="18.75">
      <c r="A17" s="178"/>
      <c r="B17" s="21" t="s">
        <v>17</v>
      </c>
      <c r="C17" s="131">
        <v>1.264738599360431</v>
      </c>
      <c r="D17" s="34">
        <v>1.9238708768665693</v>
      </c>
      <c r="E17" s="34">
        <v>2.0585111157577431</v>
      </c>
      <c r="F17" s="34">
        <v>2.0585111157577431</v>
      </c>
      <c r="G17" s="132">
        <v>0.17243802149943604</v>
      </c>
    </row>
    <row r="18" spans="1:7">
      <c r="A18" s="178"/>
      <c r="B18" s="22" t="s">
        <v>18</v>
      </c>
      <c r="C18" s="133">
        <v>1.779843451740944E-2</v>
      </c>
      <c r="D18" s="37">
        <v>0.59406403028030208</v>
      </c>
      <c r="E18" s="37">
        <v>0.50776430813352036</v>
      </c>
      <c r="F18" s="37">
        <v>0.50776430813352036</v>
      </c>
      <c r="G18" s="134">
        <v>0.22075861375642492</v>
      </c>
    </row>
    <row r="19" spans="1:7" ht="18.75">
      <c r="A19" s="178"/>
      <c r="B19" s="23" t="s">
        <v>19</v>
      </c>
      <c r="C19" s="78">
        <v>3.4434383443111622</v>
      </c>
      <c r="D19" s="38">
        <v>31.354959500493187</v>
      </c>
      <c r="E19" s="112">
        <v>88.994752577901323</v>
      </c>
      <c r="F19" s="10">
        <v>65.282218954978191</v>
      </c>
      <c r="G19" s="113">
        <v>2.8539185410547336</v>
      </c>
    </row>
    <row r="20" spans="1:7" ht="18.75">
      <c r="A20" s="178"/>
      <c r="B20" s="21" t="s">
        <v>20</v>
      </c>
      <c r="C20" s="135">
        <v>0.77266056666666705</v>
      </c>
      <c r="D20" s="10">
        <v>-8.0382857423321266</v>
      </c>
      <c r="E20" s="11">
        <v>-0.55297056413991186</v>
      </c>
      <c r="F20" s="10">
        <v>-3.0735699827033045</v>
      </c>
      <c r="G20" s="137">
        <v>-0.12457340206652523</v>
      </c>
    </row>
    <row r="21" spans="1:7" ht="16.5" thickBot="1">
      <c r="A21" s="179"/>
      <c r="B21" s="25" t="s">
        <v>21</v>
      </c>
      <c r="C21" s="146">
        <v>9.4500009880699065E-2</v>
      </c>
      <c r="D21" s="46">
        <v>0.46297189648935799</v>
      </c>
      <c r="E21" s="89">
        <v>0.67379690242647872</v>
      </c>
      <c r="F21" s="47">
        <v>0.39870789607228718</v>
      </c>
      <c r="G21" s="141">
        <v>0.42122415196355922</v>
      </c>
    </row>
    <row r="22" spans="1:7" ht="18.75">
      <c r="A22" s="180" t="s">
        <v>4</v>
      </c>
      <c r="B22" s="20" t="s">
        <v>16</v>
      </c>
      <c r="C22" s="129">
        <v>-2.0483131173579188</v>
      </c>
      <c r="D22" s="31">
        <v>90.555000049310422</v>
      </c>
      <c r="E22" s="30">
        <v>93.106721951608691</v>
      </c>
      <c r="F22" s="30">
        <v>93.677450748768194</v>
      </c>
      <c r="G22" s="130">
        <v>25.278711114251244</v>
      </c>
    </row>
    <row r="23" spans="1:7" ht="18.75">
      <c r="A23" s="178"/>
      <c r="B23" s="21" t="s">
        <v>17</v>
      </c>
      <c r="C23" s="131">
        <v>0.35685044426509765</v>
      </c>
      <c r="D23" s="34">
        <v>3.5835818224425964</v>
      </c>
      <c r="E23" s="34">
        <v>0.1867599747333544</v>
      </c>
      <c r="F23" s="34">
        <v>0.1867599747333544</v>
      </c>
      <c r="G23" s="132">
        <v>0.373414767828051</v>
      </c>
    </row>
    <row r="24" spans="1:7">
      <c r="A24" s="178"/>
      <c r="B24" s="22" t="s">
        <v>18</v>
      </c>
      <c r="C24" s="133">
        <v>0.42465188012065536</v>
      </c>
      <c r="D24" s="37">
        <v>0.58006618713303693</v>
      </c>
      <c r="E24" s="37">
        <v>0.83669716607423084</v>
      </c>
      <c r="F24" s="37">
        <v>0.83669716607423084</v>
      </c>
      <c r="G24" s="134">
        <v>0.50743491386199224</v>
      </c>
    </row>
    <row r="25" spans="1:7" ht="18.75">
      <c r="A25" s="178"/>
      <c r="B25" s="23" t="s">
        <v>19</v>
      </c>
      <c r="C25" s="78">
        <v>-0.8567638784690299</v>
      </c>
      <c r="D25" s="38">
        <v>94.302266215304627</v>
      </c>
      <c r="E25" s="112">
        <v>91.248820860945642</v>
      </c>
      <c r="F25" s="10">
        <v>93.692787641057578</v>
      </c>
      <c r="G25" s="113">
        <v>24.731525656864999</v>
      </c>
    </row>
    <row r="26" spans="1:7" ht="18.75">
      <c r="A26" s="178"/>
      <c r="B26" s="21" t="s">
        <v>20</v>
      </c>
      <c r="C26" s="135">
        <v>1.1915492388888889</v>
      </c>
      <c r="D26" s="10">
        <v>4.1381107216097277</v>
      </c>
      <c r="E26" s="11">
        <v>-1.8579010906630486</v>
      </c>
      <c r="F26" s="10">
        <v>1.6372021406210406E-2</v>
      </c>
      <c r="G26" s="115">
        <v>-0.54718545738624513</v>
      </c>
    </row>
    <row r="27" spans="1:7" ht="16.5" thickBot="1">
      <c r="A27" s="181"/>
      <c r="B27" s="26" t="s">
        <v>21</v>
      </c>
      <c r="C27" s="149">
        <v>8.7526237262957381E-3</v>
      </c>
      <c r="D27" s="48">
        <v>0.56370173433526705</v>
      </c>
      <c r="E27" s="121">
        <v>0.25740820589094549</v>
      </c>
      <c r="F27" s="43">
        <v>0.97647578180101635</v>
      </c>
      <c r="G27" s="122">
        <v>0.24822274882877948</v>
      </c>
    </row>
    <row r="28" spans="1:7" ht="18.75">
      <c r="A28" s="177" t="s">
        <v>5</v>
      </c>
      <c r="B28" s="24" t="s">
        <v>16</v>
      </c>
      <c r="C28" s="144">
        <v>8.9341320197508551</v>
      </c>
      <c r="D28" s="45">
        <v>154.95116660455244</v>
      </c>
      <c r="E28" s="44">
        <v>95.551960079558668</v>
      </c>
      <c r="F28" s="44">
        <v>98.049312359383336</v>
      </c>
      <c r="G28" s="145">
        <v>33.728993818123868</v>
      </c>
    </row>
    <row r="29" spans="1:7" ht="18.75">
      <c r="A29" s="178"/>
      <c r="B29" s="21" t="s">
        <v>17</v>
      </c>
      <c r="C29" s="131">
        <v>0.65556166943852556</v>
      </c>
      <c r="D29" s="34">
        <v>-0.4180757302616292</v>
      </c>
      <c r="E29" s="34">
        <v>-0.54183555476502054</v>
      </c>
      <c r="F29" s="34">
        <v>-0.54183555476502054</v>
      </c>
      <c r="G29" s="132">
        <v>-0.5834460984248212</v>
      </c>
    </row>
    <row r="30" spans="1:7">
      <c r="A30" s="178"/>
      <c r="B30" s="22" t="s">
        <v>18</v>
      </c>
      <c r="C30" s="133">
        <v>1.3379407992302889E-2</v>
      </c>
      <c r="D30" s="37">
        <v>0.97123157119813386</v>
      </c>
      <c r="E30" s="49">
        <v>0.3496332394249928</v>
      </c>
      <c r="F30" s="49">
        <v>0.3496332394249928</v>
      </c>
      <c r="G30" s="134">
        <v>0.20120580846138447</v>
      </c>
    </row>
    <row r="31" spans="1:7" ht="18.75">
      <c r="A31" s="178"/>
      <c r="B31" s="23" t="s">
        <v>19</v>
      </c>
      <c r="C31" s="78">
        <v>9.620558197528629</v>
      </c>
      <c r="D31" s="38">
        <v>156.37022940909708</v>
      </c>
      <c r="E31" s="112">
        <v>90.959105162291721</v>
      </c>
      <c r="F31" s="10">
        <v>97.7758393920586</v>
      </c>
      <c r="G31" s="113">
        <v>31.993081612628906</v>
      </c>
    </row>
    <row r="32" spans="1:7" ht="18.75">
      <c r="A32" s="178"/>
      <c r="B32" s="21" t="s">
        <v>20</v>
      </c>
      <c r="C32" s="135">
        <v>0.68642617777777382</v>
      </c>
      <c r="D32" s="10">
        <v>0.91581292070307163</v>
      </c>
      <c r="E32" s="11">
        <v>-4.5928549172669477</v>
      </c>
      <c r="F32" s="10">
        <v>-0.27891370244634828</v>
      </c>
      <c r="G32" s="115">
        <v>-1.7359122054949623</v>
      </c>
    </row>
    <row r="33" spans="1:15" ht="16.5" thickBot="1">
      <c r="A33" s="179"/>
      <c r="B33" s="25" t="s">
        <v>21</v>
      </c>
      <c r="C33" s="146">
        <v>2.4152065468867122E-3</v>
      </c>
      <c r="D33" s="46">
        <v>0.88806758725297008</v>
      </c>
      <c r="E33" s="117">
        <v>3.1656253877583992E-3</v>
      </c>
      <c r="F33" s="47">
        <v>0.57547783582850942</v>
      </c>
      <c r="G33" s="118">
        <v>3.1833135013131491E-3</v>
      </c>
    </row>
    <row r="34" spans="1:15" ht="18.75">
      <c r="A34" s="177" t="s">
        <v>6</v>
      </c>
      <c r="B34" s="24" t="s">
        <v>16</v>
      </c>
      <c r="C34" s="129">
        <v>18.031388891537983</v>
      </c>
      <c r="D34" s="31">
        <v>89.484499980167811</v>
      </c>
      <c r="E34" s="30">
        <v>95.863599443022537</v>
      </c>
      <c r="F34" s="30">
        <v>74.363508304951111</v>
      </c>
      <c r="G34" s="130">
        <v>6.3968774296513153</v>
      </c>
    </row>
    <row r="35" spans="1:15" ht="18.75">
      <c r="A35" s="178"/>
      <c r="B35" s="21" t="s">
        <v>17</v>
      </c>
      <c r="C35" s="131">
        <v>0.85120999301235345</v>
      </c>
      <c r="D35" s="34">
        <v>5.7556506639307354</v>
      </c>
      <c r="E35" s="34">
        <v>-3.2285233233843194</v>
      </c>
      <c r="F35" s="34">
        <v>-3.2285233233843194</v>
      </c>
      <c r="G35" s="132">
        <v>-0.45666748353761877</v>
      </c>
    </row>
    <row r="36" spans="1:15">
      <c r="A36" s="178"/>
      <c r="B36" s="22" t="s">
        <v>18</v>
      </c>
      <c r="C36" s="133">
        <v>1.4126276807766103E-4</v>
      </c>
      <c r="D36" s="37">
        <v>0.53640542439985439</v>
      </c>
      <c r="E36" s="37">
        <v>0.45008428095486408</v>
      </c>
      <c r="F36" s="37">
        <v>0.45008428095486408</v>
      </c>
      <c r="G36" s="134">
        <v>0.20294928904693699</v>
      </c>
    </row>
    <row r="37" spans="1:15" ht="18.75">
      <c r="A37" s="178"/>
      <c r="B37" s="23" t="s">
        <v>19</v>
      </c>
      <c r="C37" s="78">
        <v>19.103909991537986</v>
      </c>
      <c r="D37" s="38">
        <v>100.8428501568405</v>
      </c>
      <c r="E37" s="112">
        <v>93.422435192281341</v>
      </c>
      <c r="F37" s="10">
        <v>69.620323019352909</v>
      </c>
      <c r="G37" s="113">
        <v>5.7797891091571101</v>
      </c>
    </row>
    <row r="38" spans="1:15" ht="18.75">
      <c r="A38" s="178"/>
      <c r="B38" s="21" t="s">
        <v>20</v>
      </c>
      <c r="C38" s="135">
        <v>1.072521100000003</v>
      </c>
      <c r="D38" s="10">
        <v>12.693092299996092</v>
      </c>
      <c r="E38" s="11">
        <v>-2.4411642507411955</v>
      </c>
      <c r="F38" s="10">
        <v>-6.3783775049279097</v>
      </c>
      <c r="G38" s="115">
        <v>-0.61708832049420526</v>
      </c>
    </row>
    <row r="39" spans="1:15" ht="16.5" thickBot="1">
      <c r="A39" s="179"/>
      <c r="B39" s="25" t="s">
        <v>21</v>
      </c>
      <c r="C39" s="149">
        <v>1.2629043671338431E-3</v>
      </c>
      <c r="D39" s="48">
        <v>0.1848752011988094</v>
      </c>
      <c r="E39" s="121">
        <v>9.6530592740603043E-3</v>
      </c>
      <c r="F39" s="43">
        <v>0.17913362988066517</v>
      </c>
      <c r="G39" s="122">
        <v>5.3608758625755301E-2</v>
      </c>
    </row>
    <row r="40" spans="1:15" ht="18.75">
      <c r="A40" s="180" t="s">
        <v>7</v>
      </c>
      <c r="B40" s="20" t="s">
        <v>16</v>
      </c>
      <c r="C40" s="144">
        <v>19.891021489686864</v>
      </c>
      <c r="D40" s="45">
        <v>96.084333491077047</v>
      </c>
      <c r="E40" s="44">
        <v>94.052094986374286</v>
      </c>
      <c r="F40" s="44">
        <v>65.667829158109257</v>
      </c>
      <c r="G40" s="145">
        <v>4.3356512178528055</v>
      </c>
    </row>
    <row r="41" spans="1:15" ht="18.75">
      <c r="A41" s="178"/>
      <c r="B41" s="21" t="s">
        <v>17</v>
      </c>
      <c r="C41" s="131">
        <v>1.1457246242527233</v>
      </c>
      <c r="D41" s="34">
        <v>12.224471901631517</v>
      </c>
      <c r="E41" s="34">
        <v>-5.9225663400043249</v>
      </c>
      <c r="F41" s="34">
        <v>-5.9225663400043249</v>
      </c>
      <c r="G41" s="132">
        <v>-0.19032989208637374</v>
      </c>
    </row>
    <row r="42" spans="1:15">
      <c r="A42" s="178"/>
      <c r="B42" s="22" t="s">
        <v>18</v>
      </c>
      <c r="C42" s="133">
        <v>1.4222389997028009E-5</v>
      </c>
      <c r="D42" s="37">
        <v>0.36759190612710191</v>
      </c>
      <c r="E42" s="49">
        <v>0.36872468612974063</v>
      </c>
      <c r="F42" s="49">
        <v>0.36872468612974063</v>
      </c>
      <c r="G42" s="134">
        <v>0.66985950233241009</v>
      </c>
    </row>
    <row r="43" spans="1:15" ht="18.75">
      <c r="A43" s="178"/>
      <c r="B43" s="23" t="s">
        <v>19</v>
      </c>
      <c r="C43" s="78">
        <v>20.649095756353539</v>
      </c>
      <c r="D43" s="38">
        <v>90.792417628567677</v>
      </c>
      <c r="E43" s="112">
        <v>98.173447076937322</v>
      </c>
      <c r="F43" s="10">
        <v>63.545999986219591</v>
      </c>
      <c r="G43" s="113">
        <v>4.3900445020474361</v>
      </c>
    </row>
    <row r="44" spans="1:15" ht="18.75">
      <c r="A44" s="178"/>
      <c r="B44" s="21" t="s">
        <v>20</v>
      </c>
      <c r="C44" s="135">
        <v>0.7580742666666751</v>
      </c>
      <c r="D44" s="10">
        <v>-5.5075740968748201</v>
      </c>
      <c r="E44" s="11">
        <v>4.1213520905630361</v>
      </c>
      <c r="F44" s="10">
        <v>-3.231154736028981</v>
      </c>
      <c r="G44" s="137">
        <v>5.4393284194630631E-2</v>
      </c>
    </row>
    <row r="45" spans="1:15" ht="16.5" thickBot="1">
      <c r="A45" s="179"/>
      <c r="B45" s="25" t="s">
        <v>21</v>
      </c>
      <c r="C45" s="149">
        <v>5.0339657486987967E-2</v>
      </c>
      <c r="D45" s="48">
        <v>0.69502101026370489</v>
      </c>
      <c r="E45" s="121">
        <v>4.264740614341779E-2</v>
      </c>
      <c r="F45" s="43">
        <v>0.63581119597592339</v>
      </c>
      <c r="G45" s="143">
        <v>0.87958831842013807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19.523440848883755</v>
      </c>
      <c r="E49" s="100">
        <f>C5</f>
        <v>0.11119152607153024</v>
      </c>
      <c r="F49" s="97">
        <f>C6</f>
        <v>2.9023033156184432E-7</v>
      </c>
      <c r="G49" s="100">
        <f>C7</f>
        <v>20.540160715550421</v>
      </c>
      <c r="H49" s="100">
        <f>C8</f>
        <v>1.0167198666666657</v>
      </c>
      <c r="I49" s="97">
        <f>C9</f>
        <v>2.5836629746736235E-3</v>
      </c>
    </row>
    <row r="50" spans="1:9">
      <c r="A50" s="65">
        <v>26</v>
      </c>
      <c r="B50" s="98">
        <v>13</v>
      </c>
      <c r="C50" s="99">
        <v>52</v>
      </c>
      <c r="D50" s="100">
        <f>D4</f>
        <v>170.82266700162242</v>
      </c>
      <c r="E50" s="100">
        <f>D5</f>
        <v>27.110167369432993</v>
      </c>
      <c r="F50" s="97">
        <f>D6</f>
        <v>5.9587974268128029E-2</v>
      </c>
      <c r="G50" s="100">
        <f>D7</f>
        <v>155.06401775204722</v>
      </c>
      <c r="H50" s="100">
        <f>D8</f>
        <v>-9.2251511618335389</v>
      </c>
      <c r="I50" s="97">
        <f>D9</f>
        <v>0.33772787617591093</v>
      </c>
    </row>
    <row r="51" spans="1:9">
      <c r="A51" s="65">
        <v>26</v>
      </c>
      <c r="B51" s="98">
        <v>13</v>
      </c>
      <c r="C51" s="99">
        <v>54</v>
      </c>
      <c r="D51" s="100">
        <f>E4</f>
        <v>93.306014005567576</v>
      </c>
      <c r="E51" s="100">
        <f>E5</f>
        <v>-1.9397095201243864</v>
      </c>
      <c r="F51" s="97">
        <f>E6</f>
        <v>9.7542773850446365E-2</v>
      </c>
      <c r="G51" s="100">
        <f>E7</f>
        <v>91.81997784750142</v>
      </c>
      <c r="H51" s="100">
        <f>E8</f>
        <v>-1.4860361580661561</v>
      </c>
      <c r="I51" s="97">
        <f>E9</f>
        <v>0.27580889651986462</v>
      </c>
    </row>
    <row r="52" spans="1:9">
      <c r="A52" s="65">
        <v>26</v>
      </c>
      <c r="B52" s="98">
        <v>13</v>
      </c>
      <c r="C52" s="101">
        <v>55</v>
      </c>
      <c r="D52" s="100">
        <f>F4</f>
        <v>95.237310174478154</v>
      </c>
      <c r="E52" s="100">
        <f>F5</f>
        <v>-1.9397095201243864</v>
      </c>
      <c r="F52" s="97">
        <f>F6</f>
        <v>9.7542773850446365E-2</v>
      </c>
      <c r="G52" s="100">
        <f>F7</f>
        <v>98.073559979215489</v>
      </c>
      <c r="H52" s="100">
        <f>F8</f>
        <v>2.9780868438443053</v>
      </c>
      <c r="I52" s="97">
        <f>F9</f>
        <v>2.2653568988119127E-2</v>
      </c>
    </row>
    <row r="53" spans="1:9">
      <c r="A53" s="65">
        <v>26</v>
      </c>
      <c r="B53" s="98">
        <v>13</v>
      </c>
      <c r="C53" s="101">
        <v>56</v>
      </c>
      <c r="D53" s="100">
        <f>G4</f>
        <v>6.2197514385873651</v>
      </c>
      <c r="E53" s="100">
        <f>G5</f>
        <v>-0.49598888403487434</v>
      </c>
      <c r="F53" s="97">
        <f>G6</f>
        <v>7.0215111515449767E-6</v>
      </c>
      <c r="G53" s="100">
        <f>G7</f>
        <v>6.313214311847843</v>
      </c>
      <c r="H53" s="100">
        <f>G8</f>
        <v>9.3462873260477863E-2</v>
      </c>
      <c r="I53" s="97">
        <f>G9</f>
        <v>0.45328806024325941</v>
      </c>
    </row>
    <row r="54" spans="1:9">
      <c r="A54" s="65">
        <v>26</v>
      </c>
      <c r="B54" s="98">
        <v>14</v>
      </c>
      <c r="C54" s="99">
        <v>51</v>
      </c>
      <c r="D54" s="100">
        <f>C10</f>
        <v>11.606274189690533</v>
      </c>
      <c r="E54" s="100">
        <f>C11</f>
        <v>0.10601006099820606</v>
      </c>
      <c r="F54" s="97">
        <f>C12</f>
        <v>0.63391290068383666</v>
      </c>
      <c r="G54" s="100">
        <f>C13</f>
        <v>13.188413923023861</v>
      </c>
      <c r="H54" s="100">
        <f>C14</f>
        <v>1.582139733333328</v>
      </c>
      <c r="I54" s="97">
        <f>C15</f>
        <v>1.2973726491420383E-5</v>
      </c>
    </row>
    <row r="55" spans="1:9">
      <c r="A55" s="65">
        <v>26</v>
      </c>
      <c r="B55" s="98">
        <v>14</v>
      </c>
      <c r="C55" s="99">
        <v>52</v>
      </c>
      <c r="D55" s="100">
        <f>D10</f>
        <v>86.155499998076507</v>
      </c>
      <c r="E55" s="100">
        <f>D11</f>
        <v>21.684327011766364</v>
      </c>
      <c r="F55" s="97">
        <f>D12</f>
        <v>1.8781816384003745E-2</v>
      </c>
      <c r="G55" s="100">
        <f>D13</f>
        <v>77.953802347566636</v>
      </c>
      <c r="H55" s="100">
        <f>D14</f>
        <v>-9.519644887085537</v>
      </c>
      <c r="I55" s="97">
        <f>D15</f>
        <v>0.33437357336491047</v>
      </c>
    </row>
    <row r="56" spans="1:9">
      <c r="A56" s="65">
        <v>26</v>
      </c>
      <c r="B56" s="98">
        <v>14</v>
      </c>
      <c r="C56" s="99">
        <v>54</v>
      </c>
      <c r="D56" s="100">
        <f>E10</f>
        <v>97.1636645150666</v>
      </c>
      <c r="E56" s="100">
        <f>E11</f>
        <v>8.0529525080340996</v>
      </c>
      <c r="F56" s="97">
        <f>E12</f>
        <v>3.9205053873371401E-3</v>
      </c>
      <c r="G56" s="100">
        <f>E13</f>
        <v>100.77855320878754</v>
      </c>
      <c r="H56" s="100">
        <f>E14</f>
        <v>3.6148886937209426</v>
      </c>
      <c r="I56" s="97">
        <f>E15</f>
        <v>2.2669323012969558E-3</v>
      </c>
    </row>
    <row r="57" spans="1:9">
      <c r="A57" s="65">
        <v>26</v>
      </c>
      <c r="B57" s="98">
        <v>14</v>
      </c>
      <c r="C57" s="101">
        <v>55</v>
      </c>
      <c r="D57" s="100">
        <f>F10</f>
        <v>84.949896476516457</v>
      </c>
      <c r="E57" s="100">
        <f>F11</f>
        <v>8.0529525080340996</v>
      </c>
      <c r="F57" s="97">
        <f>F12</f>
        <v>3.9205053873371401E-3</v>
      </c>
      <c r="G57" s="100">
        <f>F13</f>
        <v>84.775022431279837</v>
      </c>
      <c r="H57" s="100">
        <f>F14</f>
        <v>-0.20585551306111866</v>
      </c>
      <c r="I57" s="97">
        <f>F15</f>
        <v>0.93008742676465495</v>
      </c>
    </row>
    <row r="58" spans="1:9">
      <c r="A58" s="65">
        <v>26</v>
      </c>
      <c r="B58" s="98">
        <v>14</v>
      </c>
      <c r="C58" s="101">
        <v>56</v>
      </c>
      <c r="D58" s="100">
        <f>G10</f>
        <v>5.7718852066644395</v>
      </c>
      <c r="E58" s="100">
        <f>G11</f>
        <v>0.53582887886545383</v>
      </c>
      <c r="F58" s="97">
        <f>G12</f>
        <v>4.2117618088888652E-3</v>
      </c>
      <c r="G58" s="100">
        <f>G13</f>
        <v>5.9782639410069196</v>
      </c>
      <c r="H58" s="100">
        <f>G14</f>
        <v>0.20637873434248011</v>
      </c>
      <c r="I58" s="97">
        <f>G15</f>
        <v>0.22557482520717631</v>
      </c>
    </row>
    <row r="59" spans="1:9">
      <c r="A59" s="65">
        <v>26</v>
      </c>
      <c r="B59" s="98">
        <v>15</v>
      </c>
      <c r="C59" s="99">
        <v>51</v>
      </c>
      <c r="D59" s="100">
        <f>C16</f>
        <v>2.6707777776444952</v>
      </c>
      <c r="E59" s="100">
        <f>C17</f>
        <v>1.264738599360431</v>
      </c>
      <c r="F59" s="97">
        <f>C18</f>
        <v>1.779843451740944E-2</v>
      </c>
      <c r="G59" s="100">
        <f>C19</f>
        <v>3.4434383443111622</v>
      </c>
      <c r="H59" s="100">
        <f>C20</f>
        <v>0.77266056666666705</v>
      </c>
      <c r="I59" s="97">
        <f>C21</f>
        <v>9.4500009880699065E-2</v>
      </c>
    </row>
    <row r="60" spans="1:9">
      <c r="A60" s="65">
        <v>26</v>
      </c>
      <c r="B60" s="98">
        <v>15</v>
      </c>
      <c r="C60" s="99">
        <v>52</v>
      </c>
      <c r="D60" s="100">
        <f>D16</f>
        <v>34.09566660821438</v>
      </c>
      <c r="E60" s="100">
        <f>D17</f>
        <v>1.9238708768665693</v>
      </c>
      <c r="F60" s="97">
        <f>D18</f>
        <v>0.59406403028030208</v>
      </c>
      <c r="G60" s="100">
        <f>D19</f>
        <v>31.354959500493187</v>
      </c>
      <c r="H60" s="100">
        <f>D20</f>
        <v>-8.0382857423321266</v>
      </c>
      <c r="I60" s="97">
        <f>D21</f>
        <v>0.46297189648935799</v>
      </c>
    </row>
    <row r="61" spans="1:9">
      <c r="A61" s="65">
        <v>26</v>
      </c>
      <c r="B61" s="98">
        <v>15</v>
      </c>
      <c r="C61" s="99">
        <v>54</v>
      </c>
      <c r="D61" s="100">
        <f>E16</f>
        <v>89.547723142041235</v>
      </c>
      <c r="E61" s="100">
        <f>E17</f>
        <v>2.0585111157577431</v>
      </c>
      <c r="F61" s="97">
        <f>E18</f>
        <v>0.50776430813352036</v>
      </c>
      <c r="G61" s="100">
        <f>E19</f>
        <v>88.994752577901323</v>
      </c>
      <c r="H61" s="100">
        <f>E20</f>
        <v>-0.55297056413991186</v>
      </c>
      <c r="I61" s="97">
        <f>E21</f>
        <v>0.67379690242647872</v>
      </c>
    </row>
    <row r="62" spans="1:9">
      <c r="A62" s="65">
        <v>26</v>
      </c>
      <c r="B62" s="98">
        <v>15</v>
      </c>
      <c r="C62" s="101">
        <v>55</v>
      </c>
      <c r="D62" s="102">
        <f>F16</f>
        <v>67.352340268106914</v>
      </c>
      <c r="E62" s="100">
        <f>F17</f>
        <v>2.0585111157577431</v>
      </c>
      <c r="F62" s="97">
        <f>F18</f>
        <v>0.50776430813352036</v>
      </c>
      <c r="G62" s="100">
        <f>F19</f>
        <v>65.282218954978191</v>
      </c>
      <c r="H62" s="100">
        <f>F20</f>
        <v>-3.0735699827033045</v>
      </c>
      <c r="I62" s="97">
        <f>F21</f>
        <v>0.39870789607228718</v>
      </c>
    </row>
    <row r="63" spans="1:9">
      <c r="A63" s="65">
        <v>26</v>
      </c>
      <c r="B63" s="98">
        <v>15</v>
      </c>
      <c r="C63" s="101">
        <v>56</v>
      </c>
      <c r="D63" s="102">
        <f>G16</f>
        <v>2.9784919431212589</v>
      </c>
      <c r="E63" s="100">
        <f>G17</f>
        <v>0.17243802149943604</v>
      </c>
      <c r="F63" s="97">
        <f>G18</f>
        <v>0.22075861375642492</v>
      </c>
      <c r="G63" s="100">
        <f>G19</f>
        <v>2.8539185410547336</v>
      </c>
      <c r="H63" s="100">
        <f>G20</f>
        <v>-0.12457340206652523</v>
      </c>
      <c r="I63" s="97">
        <f>G21</f>
        <v>0.42122415196355922</v>
      </c>
    </row>
    <row r="64" spans="1:9">
      <c r="A64" s="65">
        <v>26</v>
      </c>
      <c r="B64" s="98">
        <v>16</v>
      </c>
      <c r="C64" s="99">
        <v>51</v>
      </c>
      <c r="D64" s="100">
        <f>C22</f>
        <v>-2.0483131173579188</v>
      </c>
      <c r="E64" s="103">
        <f>C23</f>
        <v>0.35685044426509765</v>
      </c>
      <c r="F64" s="104">
        <f>C24</f>
        <v>0.42465188012065536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90.555000049310422</v>
      </c>
      <c r="E65" s="103">
        <f>D23</f>
        <v>3.5835818224425964</v>
      </c>
      <c r="F65" s="104">
        <f>D24</f>
        <v>0.58006618713303693</v>
      </c>
      <c r="G65" s="100">
        <f>D25</f>
        <v>94.302266215304627</v>
      </c>
      <c r="H65" s="100">
        <f>D26</f>
        <v>4.1381107216097277</v>
      </c>
      <c r="I65" s="97">
        <f>D27</f>
        <v>0.56370173433526705</v>
      </c>
    </row>
    <row r="66" spans="1:9">
      <c r="A66" s="65">
        <v>26</v>
      </c>
      <c r="B66" s="98">
        <v>16</v>
      </c>
      <c r="C66" s="99">
        <v>54</v>
      </c>
      <c r="D66" s="100">
        <f>E22</f>
        <v>93.106721951608691</v>
      </c>
      <c r="E66" s="103">
        <f>E23</f>
        <v>0.1867599747333544</v>
      </c>
      <c r="F66" s="104">
        <f>E24</f>
        <v>0.83669716607423084</v>
      </c>
      <c r="G66" s="100">
        <f>E25</f>
        <v>91.248820860945642</v>
      </c>
      <c r="H66" s="100">
        <f>E26</f>
        <v>-1.8579010906630486</v>
      </c>
      <c r="I66" s="97">
        <f>E27</f>
        <v>0.25740820589094549</v>
      </c>
    </row>
    <row r="67" spans="1:9">
      <c r="A67" s="65">
        <v>26</v>
      </c>
      <c r="B67" s="98">
        <v>16</v>
      </c>
      <c r="C67" s="101">
        <v>55</v>
      </c>
      <c r="D67" s="105">
        <f>F22</f>
        <v>93.677450748768194</v>
      </c>
      <c r="E67" s="106">
        <f>F23</f>
        <v>0.1867599747333544</v>
      </c>
      <c r="F67" s="107">
        <f>F24</f>
        <v>0.83669716607423084</v>
      </c>
      <c r="G67" s="100">
        <f>F25</f>
        <v>93.692787641057578</v>
      </c>
      <c r="H67" s="100">
        <f>F26</f>
        <v>1.6372021406210406E-2</v>
      </c>
      <c r="I67" s="97">
        <f>F27</f>
        <v>0.97647578180101635</v>
      </c>
    </row>
    <row r="68" spans="1:9">
      <c r="A68" s="65">
        <v>26</v>
      </c>
      <c r="B68" s="98">
        <v>16</v>
      </c>
      <c r="C68" s="101">
        <v>56</v>
      </c>
      <c r="D68" s="108">
        <f>G22</f>
        <v>25.278711114251244</v>
      </c>
      <c r="E68" s="100">
        <f>G23</f>
        <v>0.373414767828051</v>
      </c>
      <c r="F68" s="97">
        <f>G24</f>
        <v>0.50743491386199224</v>
      </c>
      <c r="G68" s="100">
        <f>G25</f>
        <v>24.731525656864999</v>
      </c>
      <c r="H68" s="100">
        <f>G23</f>
        <v>0.373414767828051</v>
      </c>
      <c r="I68" s="97">
        <f>G24</f>
        <v>0.50743491386199224</v>
      </c>
    </row>
    <row r="69" spans="1:9">
      <c r="A69" s="65">
        <v>26</v>
      </c>
      <c r="B69" s="98">
        <v>17</v>
      </c>
      <c r="C69" s="99">
        <v>51</v>
      </c>
      <c r="D69" s="100">
        <f>C28</f>
        <v>8.9341320197508551</v>
      </c>
      <c r="E69" s="103">
        <f>C29</f>
        <v>0.65556166943852556</v>
      </c>
      <c r="F69" s="104">
        <f>C30</f>
        <v>1.3379407992302889E-2</v>
      </c>
      <c r="G69" s="100">
        <f>C31</f>
        <v>9.620558197528629</v>
      </c>
      <c r="H69" s="100">
        <f>C32</f>
        <v>0.68642617777777382</v>
      </c>
      <c r="I69" s="97">
        <f>C33</f>
        <v>2.4152065468867122E-3</v>
      </c>
    </row>
    <row r="70" spans="1:9">
      <c r="A70" s="65">
        <v>26</v>
      </c>
      <c r="B70" s="98">
        <v>17</v>
      </c>
      <c r="C70" s="99">
        <v>52</v>
      </c>
      <c r="D70" s="100">
        <f>D28</f>
        <v>154.95116660455244</v>
      </c>
      <c r="E70" s="103">
        <f>D29</f>
        <v>-0.4180757302616292</v>
      </c>
      <c r="F70" s="104">
        <f>D30</f>
        <v>0.97123157119813386</v>
      </c>
      <c r="G70" s="100">
        <f>D31</f>
        <v>156.37022940909708</v>
      </c>
      <c r="H70" s="100">
        <f>D32</f>
        <v>0.91581292070307163</v>
      </c>
      <c r="I70" s="97">
        <f>D33</f>
        <v>0.88806758725297008</v>
      </c>
    </row>
    <row r="71" spans="1:9">
      <c r="A71" s="65">
        <v>26</v>
      </c>
      <c r="B71" s="98">
        <v>17</v>
      </c>
      <c r="C71" s="99">
        <v>54</v>
      </c>
      <c r="D71" s="100">
        <f>E28</f>
        <v>95.551960079558668</v>
      </c>
      <c r="E71" s="103">
        <f>E29</f>
        <v>-0.54183555476502054</v>
      </c>
      <c r="F71" s="104">
        <f>E30</f>
        <v>0.3496332394249928</v>
      </c>
      <c r="G71" s="100">
        <f>E31</f>
        <v>90.959105162291721</v>
      </c>
      <c r="H71" s="100">
        <f>E32</f>
        <v>-4.5928549172669477</v>
      </c>
      <c r="I71" s="97">
        <f>E33</f>
        <v>3.1656253877583992E-3</v>
      </c>
    </row>
    <row r="72" spans="1:9">
      <c r="A72" s="65">
        <v>26</v>
      </c>
      <c r="B72" s="98">
        <v>17</v>
      </c>
      <c r="C72" s="101">
        <v>55</v>
      </c>
      <c r="D72" s="105">
        <f>F28</f>
        <v>98.049312359383336</v>
      </c>
      <c r="E72" s="106">
        <f>F29</f>
        <v>-0.54183555476502054</v>
      </c>
      <c r="F72" s="107">
        <f>F30</f>
        <v>0.3496332394249928</v>
      </c>
      <c r="G72" s="100">
        <f>F31</f>
        <v>97.7758393920586</v>
      </c>
      <c r="H72" s="100">
        <f>F32</f>
        <v>-0.27891370244634828</v>
      </c>
      <c r="I72" s="97">
        <f>F33</f>
        <v>0.57547783582850942</v>
      </c>
    </row>
    <row r="73" spans="1:9">
      <c r="A73" s="65">
        <v>26</v>
      </c>
      <c r="B73" s="98">
        <v>17</v>
      </c>
      <c r="C73" s="101">
        <v>56</v>
      </c>
      <c r="D73" s="108">
        <f>G28</f>
        <v>33.728993818123868</v>
      </c>
      <c r="E73" s="100">
        <f>G29</f>
        <v>-0.5834460984248212</v>
      </c>
      <c r="F73" s="97">
        <f>G30</f>
        <v>0.20120580846138447</v>
      </c>
      <c r="G73" s="100">
        <f>G31</f>
        <v>31.993081612628906</v>
      </c>
      <c r="H73" s="100">
        <f>G32</f>
        <v>-1.7359122054949623</v>
      </c>
      <c r="I73" s="97">
        <f>G33</f>
        <v>3.1833135013131491E-3</v>
      </c>
    </row>
    <row r="74" spans="1:9">
      <c r="A74" s="65">
        <v>26</v>
      </c>
      <c r="B74" s="98">
        <v>18</v>
      </c>
      <c r="C74" s="99">
        <v>51</v>
      </c>
      <c r="D74" s="100">
        <f>C34</f>
        <v>18.031388891537983</v>
      </c>
      <c r="E74" s="103">
        <f>C35</f>
        <v>0.85120999301235345</v>
      </c>
      <c r="F74" s="104">
        <f>C36</f>
        <v>1.4126276807766103E-4</v>
      </c>
      <c r="G74" s="100">
        <f>C37</f>
        <v>19.103909991537986</v>
      </c>
      <c r="H74" s="100">
        <f>C38</f>
        <v>1.072521100000003</v>
      </c>
      <c r="I74" s="97">
        <f>C39</f>
        <v>1.2629043671338431E-3</v>
      </c>
    </row>
    <row r="75" spans="1:9">
      <c r="A75" s="65">
        <v>26</v>
      </c>
      <c r="B75" s="98">
        <v>18</v>
      </c>
      <c r="C75" s="99">
        <v>52</v>
      </c>
      <c r="D75" s="100">
        <f>D34</f>
        <v>89.484499980167811</v>
      </c>
      <c r="E75" s="103">
        <f>D35</f>
        <v>5.7556506639307354</v>
      </c>
      <c r="F75" s="104">
        <f>D36</f>
        <v>0.53640542439985439</v>
      </c>
      <c r="G75" s="100">
        <f>D37</f>
        <v>100.8428501568405</v>
      </c>
      <c r="H75" s="100">
        <f>D38</f>
        <v>12.693092299996092</v>
      </c>
      <c r="I75" s="97">
        <f>D39</f>
        <v>0.1848752011988094</v>
      </c>
    </row>
    <row r="76" spans="1:9">
      <c r="A76" s="65">
        <v>26</v>
      </c>
      <c r="B76" s="98">
        <v>18</v>
      </c>
      <c r="C76" s="99">
        <v>54</v>
      </c>
      <c r="D76" s="100">
        <f>E34</f>
        <v>95.863599443022537</v>
      </c>
      <c r="E76" s="103">
        <f>E35</f>
        <v>-3.2285233233843194</v>
      </c>
      <c r="F76" s="104">
        <f>E36</f>
        <v>0.45008428095486408</v>
      </c>
      <c r="G76" s="100">
        <f>E37</f>
        <v>93.422435192281341</v>
      </c>
      <c r="H76" s="100">
        <f>E38</f>
        <v>-2.4411642507411955</v>
      </c>
      <c r="I76" s="97">
        <f>E39</f>
        <v>9.6530592740603043E-3</v>
      </c>
    </row>
    <row r="77" spans="1:9">
      <c r="A77" s="65">
        <v>26</v>
      </c>
      <c r="B77" s="98">
        <v>18</v>
      </c>
      <c r="C77" s="101">
        <v>55</v>
      </c>
      <c r="D77" s="105">
        <f>F34</f>
        <v>74.363508304951111</v>
      </c>
      <c r="E77" s="106">
        <f>F35</f>
        <v>-3.2285233233843194</v>
      </c>
      <c r="F77" s="107">
        <f>F36</f>
        <v>0.45008428095486408</v>
      </c>
      <c r="G77" s="100">
        <f>F37</f>
        <v>69.620323019352909</v>
      </c>
      <c r="H77" s="100">
        <f>F38</f>
        <v>-6.3783775049279097</v>
      </c>
      <c r="I77" s="97">
        <f>F39</f>
        <v>0.17913362988066517</v>
      </c>
    </row>
    <row r="78" spans="1:9">
      <c r="A78" s="65">
        <v>26</v>
      </c>
      <c r="B78" s="98">
        <v>18</v>
      </c>
      <c r="C78" s="101">
        <v>56</v>
      </c>
      <c r="D78" s="108">
        <f>G34</f>
        <v>6.3968774296513153</v>
      </c>
      <c r="E78" s="100">
        <f>G35</f>
        <v>-0.45666748353761877</v>
      </c>
      <c r="F78" s="97">
        <f>G36</f>
        <v>0.20294928904693699</v>
      </c>
      <c r="G78" s="100">
        <f>G37</f>
        <v>5.7797891091571101</v>
      </c>
      <c r="H78" s="100">
        <f>G38</f>
        <v>-0.61708832049420526</v>
      </c>
      <c r="I78" s="97">
        <f>G39</f>
        <v>5.3608758625755301E-2</v>
      </c>
    </row>
    <row r="79" spans="1:9">
      <c r="A79" s="65">
        <v>26</v>
      </c>
      <c r="B79" s="98">
        <v>19</v>
      </c>
      <c r="C79" s="99">
        <v>51</v>
      </c>
      <c r="D79" s="100">
        <f>C40</f>
        <v>19.891021489686864</v>
      </c>
      <c r="E79" s="103">
        <f>C41</f>
        <v>1.1457246242527233</v>
      </c>
      <c r="F79" s="104">
        <f>C42</f>
        <v>1.4222389997028009E-5</v>
      </c>
      <c r="G79" s="100">
        <f>C43</f>
        <v>20.649095756353539</v>
      </c>
      <c r="H79" s="100">
        <f>C44</f>
        <v>0.7580742666666751</v>
      </c>
      <c r="I79" s="97">
        <f>C45</f>
        <v>5.0339657486987967E-2</v>
      </c>
    </row>
    <row r="80" spans="1:9">
      <c r="A80" s="65">
        <v>26</v>
      </c>
      <c r="B80" s="98">
        <v>19</v>
      </c>
      <c r="C80" s="99">
        <v>52</v>
      </c>
      <c r="D80" s="100">
        <f>D40</f>
        <v>96.084333491077047</v>
      </c>
      <c r="E80" s="100">
        <f>D41</f>
        <v>12.224471901631517</v>
      </c>
      <c r="F80" s="104">
        <f>D42</f>
        <v>0.36759190612710191</v>
      </c>
      <c r="G80" s="100">
        <f>D43</f>
        <v>90.792417628567677</v>
      </c>
      <c r="H80" s="100">
        <f>D44</f>
        <v>-5.5075740968748201</v>
      </c>
      <c r="I80" s="97">
        <f>D45</f>
        <v>0.69502101026370489</v>
      </c>
    </row>
    <row r="81" spans="1:9">
      <c r="A81" s="65">
        <v>26</v>
      </c>
      <c r="B81" s="98">
        <v>19</v>
      </c>
      <c r="C81" s="99">
        <v>54</v>
      </c>
      <c r="D81" s="100">
        <f>E40</f>
        <v>94.052094986374286</v>
      </c>
      <c r="E81" s="103">
        <f>E41</f>
        <v>-5.9225663400043249</v>
      </c>
      <c r="F81" s="104">
        <f>E42</f>
        <v>0.36872468612974063</v>
      </c>
      <c r="G81" s="100">
        <f>E43</f>
        <v>98.173447076937322</v>
      </c>
      <c r="H81" s="100">
        <f>E44</f>
        <v>4.1213520905630361</v>
      </c>
      <c r="I81" s="97">
        <f>E45</f>
        <v>4.264740614341779E-2</v>
      </c>
    </row>
    <row r="82" spans="1:9">
      <c r="A82" s="65">
        <v>26</v>
      </c>
      <c r="B82" s="98">
        <v>19</v>
      </c>
      <c r="C82" s="101">
        <v>55</v>
      </c>
      <c r="D82" s="105">
        <f>F40</f>
        <v>65.667829158109257</v>
      </c>
      <c r="E82" s="106">
        <f>F41</f>
        <v>-5.9225663400043249</v>
      </c>
      <c r="F82" s="107">
        <f>F42</f>
        <v>0.36872468612974063</v>
      </c>
      <c r="G82" s="100">
        <f>F43</f>
        <v>63.545999986219591</v>
      </c>
      <c r="H82" s="100">
        <f>F44</f>
        <v>-3.231154736028981</v>
      </c>
      <c r="I82" s="97">
        <f>F45</f>
        <v>0.63581119597592339</v>
      </c>
    </row>
    <row r="83" spans="1:9">
      <c r="A83" s="65">
        <v>26</v>
      </c>
      <c r="B83" s="98">
        <v>19</v>
      </c>
      <c r="C83" s="101">
        <v>56</v>
      </c>
      <c r="D83" s="108">
        <f>G40</f>
        <v>4.3356512178528055</v>
      </c>
      <c r="E83" s="106">
        <f>G41</f>
        <v>-0.19032989208637374</v>
      </c>
      <c r="F83" s="109">
        <f>G42</f>
        <v>0.66985950233241009</v>
      </c>
      <c r="G83" s="100">
        <f>G43</f>
        <v>4.3900445020474361</v>
      </c>
      <c r="H83" s="100">
        <f>G44</f>
        <v>5.4393284194630631E-2</v>
      </c>
      <c r="I83" s="97">
        <f>G45</f>
        <v>0.87958831842013807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6"/>
  <dimension ref="A1:O83"/>
  <sheetViews>
    <sheetView workbookViewId="0">
      <selection activeCell="C4" sqref="C4:G45"/>
    </sheetView>
  </sheetViews>
  <sheetFormatPr defaultRowHeight="15.75"/>
  <cols>
    <col min="1" max="1" width="15.7109375" style="27" customWidth="1"/>
    <col min="2" max="9" width="9.140625" style="27"/>
    <col min="10" max="10" width="12.7109375" style="27" bestFit="1" customWidth="1"/>
    <col min="11" max="11" width="9.28515625" style="27" bestFit="1" customWidth="1"/>
    <col min="12" max="16384" width="9.140625" style="27"/>
  </cols>
  <sheetData>
    <row r="1" spans="1:8" ht="16.5" thickBot="1"/>
    <row r="2" spans="1:8">
      <c r="A2" s="182" t="s">
        <v>0</v>
      </c>
      <c r="B2" s="189" t="s">
        <v>22</v>
      </c>
      <c r="C2" s="186" t="s">
        <v>23</v>
      </c>
      <c r="D2" s="187"/>
      <c r="E2" s="187"/>
      <c r="F2" s="187"/>
      <c r="G2" s="188"/>
      <c r="H2" s="91"/>
    </row>
    <row r="3" spans="1:8" ht="16.5" thickBot="1">
      <c r="A3" s="183"/>
      <c r="B3" s="190"/>
      <c r="C3" s="95" t="s">
        <v>11</v>
      </c>
      <c r="D3" s="28" t="s">
        <v>12</v>
      </c>
      <c r="E3" s="28" t="s">
        <v>13</v>
      </c>
      <c r="F3" s="28" t="s">
        <v>14</v>
      </c>
      <c r="G3" s="29" t="s">
        <v>15</v>
      </c>
    </row>
    <row r="4" spans="1:8" ht="18.75">
      <c r="A4" s="177" t="s">
        <v>1</v>
      </c>
      <c r="B4" s="24" t="s">
        <v>16</v>
      </c>
      <c r="C4" s="129">
        <v>19.131534816719483</v>
      </c>
      <c r="D4" s="31">
        <v>140.09190476190471</v>
      </c>
      <c r="E4" s="30">
        <v>94.424742375593993</v>
      </c>
      <c r="F4" s="30">
        <v>98.653189949639255</v>
      </c>
      <c r="G4" s="130">
        <v>6.5194503508994517</v>
      </c>
    </row>
    <row r="5" spans="1:8" ht="18.75">
      <c r="A5" s="178"/>
      <c r="B5" s="21" t="s">
        <v>17</v>
      </c>
      <c r="C5" s="131">
        <v>1.01517755487654</v>
      </c>
      <c r="D5" s="33">
        <v>-8.0140791355474121</v>
      </c>
      <c r="E5" s="34">
        <v>0.53298226407231364</v>
      </c>
      <c r="F5" s="34">
        <v>0.53298226407231364</v>
      </c>
      <c r="G5" s="132">
        <v>-0.36103565043473979</v>
      </c>
    </row>
    <row r="6" spans="1:8">
      <c r="A6" s="178"/>
      <c r="B6" s="22" t="s">
        <v>18</v>
      </c>
      <c r="C6" s="133">
        <v>2.7683973679682919E-4</v>
      </c>
      <c r="D6" s="37">
        <v>0.320536377032685</v>
      </c>
      <c r="E6" s="37">
        <v>0.11681334542618993</v>
      </c>
      <c r="F6" s="37">
        <v>0.11681334542618993</v>
      </c>
      <c r="G6" s="134">
        <v>1.2054628755934516E-2</v>
      </c>
    </row>
    <row r="7" spans="1:8" ht="18.75">
      <c r="A7" s="178"/>
      <c r="B7" s="23" t="s">
        <v>19</v>
      </c>
      <c r="C7" s="78">
        <v>19.953243600052815</v>
      </c>
      <c r="D7" s="38">
        <v>134.45676361040628</v>
      </c>
      <c r="E7" s="112">
        <v>94.898866401120642</v>
      </c>
      <c r="F7" s="10">
        <v>99.215170398380252</v>
      </c>
      <c r="G7" s="113">
        <v>6.582212504380557</v>
      </c>
    </row>
    <row r="8" spans="1:8" ht="18.75">
      <c r="A8" s="178"/>
      <c r="B8" s="21" t="s">
        <v>20</v>
      </c>
      <c r="C8" s="135">
        <v>0.82170878333333164</v>
      </c>
      <c r="D8" s="40">
        <v>-4.0224602278595061</v>
      </c>
      <c r="E8" s="136">
        <v>0.47412402552664901</v>
      </c>
      <c r="F8" s="10">
        <v>0.5696525870353335</v>
      </c>
      <c r="G8" s="137">
        <v>6.2762153481105365E-2</v>
      </c>
    </row>
    <row r="9" spans="1:8" ht="16.5" thickBot="1">
      <c r="A9" s="179"/>
      <c r="B9" s="25" t="s">
        <v>21</v>
      </c>
      <c r="C9" s="146">
        <v>6.0978194942217399E-3</v>
      </c>
      <c r="D9" s="139">
        <v>0.56657834792764117</v>
      </c>
      <c r="E9" s="147">
        <v>0.62435797114094971</v>
      </c>
      <c r="F9" s="47">
        <v>0.67330406392117348</v>
      </c>
      <c r="G9" s="141">
        <v>0.57040552961328039</v>
      </c>
    </row>
    <row r="10" spans="1:8" ht="18.75">
      <c r="A10" s="180" t="s">
        <v>2</v>
      </c>
      <c r="B10" s="20" t="s">
        <v>16</v>
      </c>
      <c r="C10" s="129">
        <v>10.073985920388589</v>
      </c>
      <c r="D10" s="31">
        <v>106.3684126984127</v>
      </c>
      <c r="E10" s="30">
        <v>91.023980312921267</v>
      </c>
      <c r="F10" s="30">
        <v>92.487412252889442</v>
      </c>
      <c r="G10" s="130">
        <v>5.883245507675964</v>
      </c>
    </row>
    <row r="11" spans="1:8" ht="18.75">
      <c r="A11" s="178"/>
      <c r="B11" s="21" t="s">
        <v>17</v>
      </c>
      <c r="C11" s="131">
        <v>0.2745112785873256</v>
      </c>
      <c r="D11" s="33">
        <v>3.5689284390062697</v>
      </c>
      <c r="E11" s="34">
        <v>0.67984711188874447</v>
      </c>
      <c r="F11" s="34">
        <v>0.67984711188874447</v>
      </c>
      <c r="G11" s="132">
        <v>0.13244400253639882</v>
      </c>
    </row>
    <row r="12" spans="1:8">
      <c r="A12" s="178"/>
      <c r="B12" s="22" t="s">
        <v>18</v>
      </c>
      <c r="C12" s="133">
        <v>0.21424681603744866</v>
      </c>
      <c r="D12" s="37">
        <v>0.62531655130810537</v>
      </c>
      <c r="E12" s="37">
        <v>0.59325911393343489</v>
      </c>
      <c r="F12" s="37">
        <v>0.59325911393343489</v>
      </c>
      <c r="G12" s="134">
        <v>0.11930568709914813</v>
      </c>
    </row>
    <row r="13" spans="1:8" ht="18.75">
      <c r="A13" s="178"/>
      <c r="B13" s="23" t="s">
        <v>19</v>
      </c>
      <c r="C13" s="78">
        <v>11.615045803721923</v>
      </c>
      <c r="D13" s="38">
        <v>109.09347672142661</v>
      </c>
      <c r="E13" s="112">
        <v>97.546930040551118</v>
      </c>
      <c r="F13" s="10">
        <v>92.452172350101804</v>
      </c>
      <c r="G13" s="113">
        <v>6.3087418318559854</v>
      </c>
    </row>
    <row r="14" spans="1:8" ht="18.75">
      <c r="A14" s="178"/>
      <c r="B14" s="21" t="s">
        <v>20</v>
      </c>
      <c r="C14" s="135">
        <v>1.5410598833333342</v>
      </c>
      <c r="D14" s="10">
        <v>2.5619109601083516</v>
      </c>
      <c r="E14" s="11">
        <v>6.5229497276298503</v>
      </c>
      <c r="F14" s="10">
        <v>-3.8102377317330967E-2</v>
      </c>
      <c r="G14" s="137">
        <v>0.42549632418002137</v>
      </c>
    </row>
    <row r="15" spans="1:8" ht="16.5" thickBot="1">
      <c r="A15" s="181"/>
      <c r="B15" s="26" t="s">
        <v>21</v>
      </c>
      <c r="C15" s="149">
        <v>1.9360981352956235E-6</v>
      </c>
      <c r="D15" s="48">
        <v>0.77357405841037108</v>
      </c>
      <c r="E15" s="121">
        <v>6.4189147640425586E-6</v>
      </c>
      <c r="F15" s="43">
        <v>0.97928651625706709</v>
      </c>
      <c r="G15" s="143">
        <v>2.0568794336791696E-3</v>
      </c>
    </row>
    <row r="16" spans="1:8" ht="18.75">
      <c r="A16" s="177" t="s">
        <v>3</v>
      </c>
      <c r="B16" s="24" t="s">
        <v>16</v>
      </c>
      <c r="C16" s="144">
        <v>0.78866666650133399</v>
      </c>
      <c r="D16" s="45">
        <v>50.577619047619038</v>
      </c>
      <c r="E16" s="44">
        <v>80.252642849672071</v>
      </c>
      <c r="F16" s="44">
        <v>79.639909070623943</v>
      </c>
      <c r="G16" s="145">
        <v>3.2272072626425481</v>
      </c>
    </row>
    <row r="17" spans="1:7" ht="18.75">
      <c r="A17" s="178"/>
      <c r="B17" s="21" t="s">
        <v>17</v>
      </c>
      <c r="C17" s="131">
        <v>1.1449674241008403</v>
      </c>
      <c r="D17" s="33">
        <v>4.7302399491498415</v>
      </c>
      <c r="E17" s="34">
        <v>5.9518669061950247</v>
      </c>
      <c r="F17" s="34">
        <v>5.9518669061950247</v>
      </c>
      <c r="G17" s="132">
        <v>0.3223482449406313</v>
      </c>
    </row>
    <row r="18" spans="1:7">
      <c r="A18" s="178"/>
      <c r="B18" s="22" t="s">
        <v>18</v>
      </c>
      <c r="C18" s="133">
        <v>6.1311653012232861E-2</v>
      </c>
      <c r="D18" s="37">
        <v>0.2366498497891445</v>
      </c>
      <c r="E18" s="37">
        <v>0.12956039001386976</v>
      </c>
      <c r="F18" s="37">
        <v>0.12956039001386976</v>
      </c>
      <c r="G18" s="134">
        <v>9.1976790784257509E-2</v>
      </c>
    </row>
    <row r="19" spans="1:7" ht="18.75">
      <c r="A19" s="178"/>
      <c r="B19" s="23" t="s">
        <v>19</v>
      </c>
      <c r="C19" s="78">
        <v>2.2333338665013329</v>
      </c>
      <c r="D19" s="38">
        <v>50.427686453373809</v>
      </c>
      <c r="E19" s="112">
        <v>87.290366075242801</v>
      </c>
      <c r="F19" s="10">
        <v>79.640590049085347</v>
      </c>
      <c r="G19" s="113">
        <v>3.5555212819102384</v>
      </c>
    </row>
    <row r="20" spans="1:7" ht="18.75">
      <c r="A20" s="178"/>
      <c r="B20" s="21" t="s">
        <v>20</v>
      </c>
      <c r="C20" s="135">
        <v>1.4446671999999987</v>
      </c>
      <c r="D20" s="10">
        <v>-0.29644059382088433</v>
      </c>
      <c r="E20" s="11">
        <v>7.0377232255707298</v>
      </c>
      <c r="F20" s="10">
        <v>8.5507187206102257E-4</v>
      </c>
      <c r="G20" s="137">
        <v>0.32831401926769033</v>
      </c>
    </row>
    <row r="21" spans="1:7" ht="16.5" thickBot="1">
      <c r="A21" s="179"/>
      <c r="B21" s="25" t="s">
        <v>21</v>
      </c>
      <c r="C21" s="146">
        <v>9.9221422676572593E-3</v>
      </c>
      <c r="D21" s="46">
        <v>0.97237890824511697</v>
      </c>
      <c r="E21" s="89">
        <v>8.7863910277724538E-3</v>
      </c>
      <c r="F21" s="47">
        <v>0.99973990848592664</v>
      </c>
      <c r="G21" s="141">
        <v>4.6895039774776964E-2</v>
      </c>
    </row>
    <row r="22" spans="1:7" ht="18.75">
      <c r="A22" s="180" t="s">
        <v>4</v>
      </c>
      <c r="B22" s="20" t="s">
        <v>16</v>
      </c>
      <c r="C22" s="129">
        <v>-4.1265727927531861</v>
      </c>
      <c r="D22" s="31">
        <v>123.65015873015872</v>
      </c>
      <c r="E22" s="30">
        <v>84.936276067093502</v>
      </c>
      <c r="F22" s="30">
        <v>97.466528115936455</v>
      </c>
      <c r="G22" s="130">
        <v>24.039411617452757</v>
      </c>
    </row>
    <row r="23" spans="1:7" ht="18.75">
      <c r="A23" s="178"/>
      <c r="B23" s="21" t="s">
        <v>17</v>
      </c>
      <c r="C23" s="131">
        <v>0.42928123020800357</v>
      </c>
      <c r="D23" s="33">
        <v>3.7902855024100934</v>
      </c>
      <c r="E23" s="34">
        <v>-0.39601091854393172</v>
      </c>
      <c r="F23" s="34">
        <v>-0.39601091854393172</v>
      </c>
      <c r="G23" s="132">
        <v>0.80064675235631755</v>
      </c>
    </row>
    <row r="24" spans="1:7">
      <c r="A24" s="178"/>
      <c r="B24" s="22" t="s">
        <v>18</v>
      </c>
      <c r="C24" s="133">
        <v>0.40204319582198844</v>
      </c>
      <c r="D24" s="37">
        <v>0.60671404663685768</v>
      </c>
      <c r="E24" s="37">
        <v>0.54801634391112386</v>
      </c>
      <c r="F24" s="37">
        <v>0.54801634391112386</v>
      </c>
      <c r="G24" s="134">
        <v>0.43601290762164768</v>
      </c>
    </row>
    <row r="25" spans="1:7" ht="18.75">
      <c r="A25" s="178"/>
      <c r="B25" s="23" t="s">
        <v>19</v>
      </c>
      <c r="C25" s="78">
        <v>-2.5868694371976302</v>
      </c>
      <c r="D25" s="38">
        <v>139.25067471419948</v>
      </c>
      <c r="E25" s="112">
        <v>88.294675678680264</v>
      </c>
      <c r="F25" s="10">
        <v>97.112960553298009</v>
      </c>
      <c r="G25" s="113">
        <v>24.893995067648991</v>
      </c>
    </row>
    <row r="26" spans="1:7" ht="18.75">
      <c r="A26" s="178"/>
      <c r="B26" s="21" t="s">
        <v>20</v>
      </c>
      <c r="C26" s="135">
        <v>1.5397033555555557</v>
      </c>
      <c r="D26" s="10">
        <v>12.616656657987566</v>
      </c>
      <c r="E26" s="11">
        <v>3.358399611586762</v>
      </c>
      <c r="F26" s="10">
        <v>-0.36275793287505104</v>
      </c>
      <c r="G26" s="115">
        <v>0.85458345019623394</v>
      </c>
    </row>
    <row r="27" spans="1:7" ht="16.5" thickBot="1">
      <c r="A27" s="181"/>
      <c r="B27" s="26" t="s">
        <v>21</v>
      </c>
      <c r="C27" s="149">
        <v>4.6632856132109166E-3</v>
      </c>
      <c r="D27" s="48">
        <v>4.3441521762633536E-2</v>
      </c>
      <c r="E27" s="121">
        <v>0.11539301538872682</v>
      </c>
      <c r="F27" s="43">
        <v>0.49041582972991893</v>
      </c>
      <c r="G27" s="122">
        <v>0.17200575298147103</v>
      </c>
    </row>
    <row r="28" spans="1:7" ht="18.75">
      <c r="A28" s="177" t="s">
        <v>5</v>
      </c>
      <c r="B28" s="24" t="s">
        <v>16</v>
      </c>
      <c r="C28" s="144">
        <v>7.79533777103895</v>
      </c>
      <c r="D28" s="45">
        <v>135.00428571428571</v>
      </c>
      <c r="E28" s="44">
        <v>98.20182258112392</v>
      </c>
      <c r="F28" s="44">
        <v>98.368940429122659</v>
      </c>
      <c r="G28" s="145">
        <v>34.774613946171108</v>
      </c>
    </row>
    <row r="29" spans="1:7" ht="18.75">
      <c r="A29" s="178"/>
      <c r="B29" s="21" t="s">
        <v>17</v>
      </c>
      <c r="C29" s="131">
        <v>0.45391426013622105</v>
      </c>
      <c r="D29" s="33">
        <v>3.970792944541564</v>
      </c>
      <c r="E29" s="34">
        <v>7.9208806857461511E-2</v>
      </c>
      <c r="F29" s="34">
        <v>7.9208806857461511E-2</v>
      </c>
      <c r="G29" s="132">
        <v>0.23374297893441323</v>
      </c>
    </row>
    <row r="30" spans="1:7">
      <c r="A30" s="178"/>
      <c r="B30" s="22" t="s">
        <v>18</v>
      </c>
      <c r="C30" s="133">
        <v>7.380259925237323E-2</v>
      </c>
      <c r="D30" s="37">
        <v>0.61538662918106524</v>
      </c>
      <c r="E30" s="49">
        <v>0.83082232566311887</v>
      </c>
      <c r="F30" s="49">
        <v>0.83082232566311887</v>
      </c>
      <c r="G30" s="134">
        <v>0.35270287473208695</v>
      </c>
    </row>
    <row r="31" spans="1:7" ht="18.75">
      <c r="A31" s="178"/>
      <c r="B31" s="23" t="s">
        <v>19</v>
      </c>
      <c r="C31" s="78">
        <v>8.5899123710389489</v>
      </c>
      <c r="D31" s="38">
        <v>145.75196120765273</v>
      </c>
      <c r="E31" s="112">
        <v>96.172526319681026</v>
      </c>
      <c r="F31" s="10">
        <v>97.459608688985924</v>
      </c>
      <c r="G31" s="113">
        <v>33.734261092294936</v>
      </c>
    </row>
    <row r="32" spans="1:7" ht="18.75">
      <c r="A32" s="178"/>
      <c r="B32" s="21" t="s">
        <v>20</v>
      </c>
      <c r="C32" s="135">
        <v>0.79457459999999891</v>
      </c>
      <c r="D32" s="10">
        <v>7.9609883764080545</v>
      </c>
      <c r="E32" s="11">
        <v>-2.0292962614428944</v>
      </c>
      <c r="F32" s="10">
        <v>-0.92440940826432738</v>
      </c>
      <c r="G32" s="115">
        <v>-1.0403528538761719</v>
      </c>
    </row>
    <row r="33" spans="1:15" ht="16.5" thickBot="1">
      <c r="A33" s="179"/>
      <c r="B33" s="25" t="s">
        <v>21</v>
      </c>
      <c r="C33" s="146">
        <v>4.7221668369859405E-3</v>
      </c>
      <c r="D33" s="46">
        <v>0.30006391494921425</v>
      </c>
      <c r="E33" s="117">
        <v>4.2085864613414327E-2</v>
      </c>
      <c r="F33" s="47">
        <v>9.3787669339294319E-2</v>
      </c>
      <c r="G33" s="118">
        <v>9.8529897520185181E-3</v>
      </c>
    </row>
    <row r="34" spans="1:15" ht="18.75">
      <c r="A34" s="177" t="s">
        <v>6</v>
      </c>
      <c r="B34" s="24" t="s">
        <v>16</v>
      </c>
      <c r="C34" s="129">
        <v>17.825587293685416</v>
      </c>
      <c r="D34" s="31">
        <v>76.197142857142879</v>
      </c>
      <c r="E34" s="30">
        <v>93.904181652960929</v>
      </c>
      <c r="F34" s="30">
        <v>80.664283721016702</v>
      </c>
      <c r="G34" s="130">
        <v>6.7833803464590989</v>
      </c>
    </row>
    <row r="35" spans="1:15" ht="18.75">
      <c r="A35" s="178"/>
      <c r="B35" s="21" t="s">
        <v>17</v>
      </c>
      <c r="C35" s="131">
        <v>0.45757718922014856</v>
      </c>
      <c r="D35" s="33">
        <v>-15.031749563006549</v>
      </c>
      <c r="E35" s="34">
        <v>5.7058812444132592</v>
      </c>
      <c r="F35" s="34">
        <v>5.7058812444132592</v>
      </c>
      <c r="G35" s="132">
        <v>0.33884002930894924</v>
      </c>
    </row>
    <row r="36" spans="1:15">
      <c r="A36" s="178"/>
      <c r="B36" s="22" t="s">
        <v>18</v>
      </c>
      <c r="C36" s="133">
        <v>0.21871734117117614</v>
      </c>
      <c r="D36" s="37">
        <v>3.3844871534620367E-2</v>
      </c>
      <c r="E36" s="37">
        <v>6.3129424647601351E-2</v>
      </c>
      <c r="F36" s="37">
        <v>6.3129424647601351E-2</v>
      </c>
      <c r="G36" s="134">
        <v>0.21652063769297225</v>
      </c>
    </row>
    <row r="37" spans="1:15" ht="18.75">
      <c r="A37" s="178"/>
      <c r="B37" s="23" t="s">
        <v>19</v>
      </c>
      <c r="C37" s="78">
        <v>18.900172460352085</v>
      </c>
      <c r="D37" s="38">
        <v>76.62780694756205</v>
      </c>
      <c r="E37" s="112">
        <v>92.986357956130092</v>
      </c>
      <c r="F37" s="10">
        <v>79.911027395671823</v>
      </c>
      <c r="G37" s="113">
        <v>6.6539804499315034</v>
      </c>
    </row>
    <row r="38" spans="1:15" ht="18.75">
      <c r="A38" s="178"/>
      <c r="B38" s="21" t="s">
        <v>20</v>
      </c>
      <c r="C38" s="135">
        <v>1.0745851666666688</v>
      </c>
      <c r="D38" s="10">
        <v>0.56519716392331765</v>
      </c>
      <c r="E38" s="11">
        <v>-0.91782369683083687</v>
      </c>
      <c r="F38" s="10">
        <v>-0.93381641861479192</v>
      </c>
      <c r="G38" s="115">
        <v>-0.12939989652759554</v>
      </c>
    </row>
    <row r="39" spans="1:15" ht="16.5" thickBot="1">
      <c r="A39" s="179"/>
      <c r="B39" s="25" t="s">
        <v>21</v>
      </c>
      <c r="C39" s="149">
        <v>5.6609035383585124E-4</v>
      </c>
      <c r="D39" s="48">
        <v>0.94180107006149538</v>
      </c>
      <c r="E39" s="121">
        <v>0.16120892309281332</v>
      </c>
      <c r="F39" s="43">
        <v>0.86676713345446577</v>
      </c>
      <c r="G39" s="122">
        <v>0.7019277813986029</v>
      </c>
    </row>
    <row r="40" spans="1:15" ht="18.75">
      <c r="A40" s="180" t="s">
        <v>7</v>
      </c>
      <c r="B40" s="20" t="s">
        <v>16</v>
      </c>
      <c r="C40" s="144">
        <v>19.697941627736824</v>
      </c>
      <c r="D40" s="45">
        <v>80.22571428571429</v>
      </c>
      <c r="E40" s="44">
        <v>91.822610403960894</v>
      </c>
      <c r="F40" s="44">
        <v>74.390334109787815</v>
      </c>
      <c r="G40" s="145">
        <v>4.8087705869733384</v>
      </c>
    </row>
    <row r="41" spans="1:15" ht="18.75">
      <c r="A41" s="178"/>
      <c r="B41" s="21" t="s">
        <v>17</v>
      </c>
      <c r="C41" s="172">
        <v>1.14974036686208</v>
      </c>
      <c r="D41" s="33">
        <v>-2.5683775623708636</v>
      </c>
      <c r="E41" s="34">
        <v>1.319932667260431</v>
      </c>
      <c r="F41" s="34">
        <v>1.319932667260431</v>
      </c>
      <c r="G41" s="132">
        <v>0.23569930322136048</v>
      </c>
    </row>
    <row r="42" spans="1:15">
      <c r="A42" s="178"/>
      <c r="B42" s="22" t="s">
        <v>18</v>
      </c>
      <c r="C42" s="173">
        <v>1.1682963392097277E-3</v>
      </c>
      <c r="D42" s="37">
        <v>0.72260932419936863</v>
      </c>
      <c r="E42" s="49">
        <v>0.68690841732599717</v>
      </c>
      <c r="F42" s="49">
        <v>0.68690841732599717</v>
      </c>
      <c r="G42" s="134">
        <v>0.32604995540176163</v>
      </c>
    </row>
    <row r="43" spans="1:15" ht="18.75">
      <c r="A43" s="178"/>
      <c r="B43" s="23" t="s">
        <v>19</v>
      </c>
      <c r="C43" s="78">
        <v>20.287021761070154</v>
      </c>
      <c r="D43" s="38">
        <v>76.889836889641444</v>
      </c>
      <c r="E43" s="112">
        <v>95.472717791901459</v>
      </c>
      <c r="F43" s="10">
        <v>76.640969215256845</v>
      </c>
      <c r="G43" s="113">
        <v>5.0980614861441911</v>
      </c>
    </row>
    <row r="44" spans="1:15" ht="18.75">
      <c r="A44" s="178"/>
      <c r="B44" s="21" t="s">
        <v>20</v>
      </c>
      <c r="C44" s="135">
        <v>0.58908013333332931</v>
      </c>
      <c r="D44" s="10">
        <v>-4.1581149208500801</v>
      </c>
      <c r="E44" s="11">
        <v>3.6501073879405652</v>
      </c>
      <c r="F44" s="10">
        <v>3.0254402435502823</v>
      </c>
      <c r="G44" s="137">
        <v>0.28929089917085271</v>
      </c>
    </row>
    <row r="45" spans="1:15" ht="16.5" thickBot="1">
      <c r="A45" s="179"/>
      <c r="B45" s="25" t="s">
        <v>21</v>
      </c>
      <c r="C45" s="149">
        <v>8.8085622073519221E-2</v>
      </c>
      <c r="D45" s="48">
        <v>0.64537012482900802</v>
      </c>
      <c r="E45" s="121">
        <v>8.5872811497095025E-2</v>
      </c>
      <c r="F45" s="43">
        <v>0.61504157786357916</v>
      </c>
      <c r="G45" s="143">
        <v>0.34179283570487495</v>
      </c>
    </row>
    <row r="46" spans="1:15">
      <c r="I46" s="90"/>
      <c r="J46" s="90"/>
      <c r="K46" s="90"/>
      <c r="L46" s="90"/>
      <c r="M46" s="90"/>
      <c r="N46" s="90"/>
      <c r="O46" s="90"/>
    </row>
    <row r="49" spans="1:9">
      <c r="A49" s="65">
        <v>26</v>
      </c>
      <c r="B49" s="98">
        <v>13</v>
      </c>
      <c r="C49" s="99">
        <v>51</v>
      </c>
      <c r="D49" s="100">
        <f>C4</f>
        <v>19.131534816719483</v>
      </c>
      <c r="E49" s="100">
        <f>C5</f>
        <v>1.01517755487654</v>
      </c>
      <c r="F49" s="97">
        <f>C6</f>
        <v>2.7683973679682919E-4</v>
      </c>
      <c r="G49" s="100">
        <f>C7</f>
        <v>19.953243600052815</v>
      </c>
      <c r="H49" s="100">
        <f>C8</f>
        <v>0.82170878333333164</v>
      </c>
      <c r="I49" s="97">
        <f>C9</f>
        <v>6.0978194942217399E-3</v>
      </c>
    </row>
    <row r="50" spans="1:9">
      <c r="A50" s="65">
        <v>26</v>
      </c>
      <c r="B50" s="98">
        <v>13</v>
      </c>
      <c r="C50" s="99">
        <v>52</v>
      </c>
      <c r="D50" s="100">
        <f>D4</f>
        <v>140.09190476190471</v>
      </c>
      <c r="E50" s="100">
        <f>D5</f>
        <v>-8.0140791355474121</v>
      </c>
      <c r="F50" s="97">
        <f>D6</f>
        <v>0.320536377032685</v>
      </c>
      <c r="G50" s="100">
        <f>D7</f>
        <v>134.45676361040628</v>
      </c>
      <c r="H50" s="100">
        <f>D8</f>
        <v>-4.0224602278595061</v>
      </c>
      <c r="I50" s="97">
        <f>D9</f>
        <v>0.56657834792764117</v>
      </c>
    </row>
    <row r="51" spans="1:9">
      <c r="A51" s="65">
        <v>26</v>
      </c>
      <c r="B51" s="98">
        <v>13</v>
      </c>
      <c r="C51" s="99">
        <v>54</v>
      </c>
      <c r="D51" s="100">
        <f>E4</f>
        <v>94.424742375593993</v>
      </c>
      <c r="E51" s="100">
        <f>E5</f>
        <v>0.53298226407231364</v>
      </c>
      <c r="F51" s="97">
        <f>E6</f>
        <v>0.11681334542618993</v>
      </c>
      <c r="G51" s="100">
        <f>E7</f>
        <v>94.898866401120642</v>
      </c>
      <c r="H51" s="100">
        <f>E8</f>
        <v>0.47412402552664901</v>
      </c>
      <c r="I51" s="97">
        <f>E9</f>
        <v>0.62435797114094971</v>
      </c>
    </row>
    <row r="52" spans="1:9">
      <c r="A52" s="65">
        <v>26</v>
      </c>
      <c r="B52" s="98">
        <v>13</v>
      </c>
      <c r="C52" s="101">
        <v>55</v>
      </c>
      <c r="D52" s="100">
        <f>F4</f>
        <v>98.653189949639255</v>
      </c>
      <c r="E52" s="100">
        <f>F5</f>
        <v>0.53298226407231364</v>
      </c>
      <c r="F52" s="97">
        <f>F6</f>
        <v>0.11681334542618993</v>
      </c>
      <c r="G52" s="100">
        <f>F7</f>
        <v>99.215170398380252</v>
      </c>
      <c r="H52" s="100">
        <f>F8</f>
        <v>0.5696525870353335</v>
      </c>
      <c r="I52" s="97">
        <f>F9</f>
        <v>0.67330406392117348</v>
      </c>
    </row>
    <row r="53" spans="1:9">
      <c r="A53" s="65">
        <v>26</v>
      </c>
      <c r="B53" s="98">
        <v>13</v>
      </c>
      <c r="C53" s="101">
        <v>56</v>
      </c>
      <c r="D53" s="100">
        <f>G4</f>
        <v>6.5194503508994517</v>
      </c>
      <c r="E53" s="100">
        <f>G5</f>
        <v>-0.36103565043473979</v>
      </c>
      <c r="F53" s="97">
        <f>G6</f>
        <v>1.2054628755934516E-2</v>
      </c>
      <c r="G53" s="100">
        <f>G7</f>
        <v>6.582212504380557</v>
      </c>
      <c r="H53" s="100">
        <f>G8</f>
        <v>6.2762153481105365E-2</v>
      </c>
      <c r="I53" s="97">
        <f>G9</f>
        <v>0.57040552961328039</v>
      </c>
    </row>
    <row r="54" spans="1:9">
      <c r="A54" s="65">
        <v>26</v>
      </c>
      <c r="B54" s="98">
        <v>14</v>
      </c>
      <c r="C54" s="99">
        <v>51</v>
      </c>
      <c r="D54" s="100">
        <f>C10</f>
        <v>10.073985920388589</v>
      </c>
      <c r="E54" s="100">
        <f>C11</f>
        <v>0.2745112785873256</v>
      </c>
      <c r="F54" s="97">
        <f>C12</f>
        <v>0.21424681603744866</v>
      </c>
      <c r="G54" s="100">
        <f>C13</f>
        <v>11.615045803721923</v>
      </c>
      <c r="H54" s="100">
        <f>C14</f>
        <v>1.5410598833333342</v>
      </c>
      <c r="I54" s="97">
        <f>C15</f>
        <v>1.9360981352956235E-6</v>
      </c>
    </row>
    <row r="55" spans="1:9">
      <c r="A55" s="65">
        <v>26</v>
      </c>
      <c r="B55" s="98">
        <v>14</v>
      </c>
      <c r="C55" s="99">
        <v>52</v>
      </c>
      <c r="D55" s="100">
        <f>D10</f>
        <v>106.3684126984127</v>
      </c>
      <c r="E55" s="100">
        <f>D11</f>
        <v>3.5689284390062697</v>
      </c>
      <c r="F55" s="97">
        <f>D12</f>
        <v>0.62531655130810537</v>
      </c>
      <c r="G55" s="100">
        <f>D13</f>
        <v>109.09347672142661</v>
      </c>
      <c r="H55" s="100">
        <f>D14</f>
        <v>2.5619109601083516</v>
      </c>
      <c r="I55" s="97">
        <f>D15</f>
        <v>0.77357405841037108</v>
      </c>
    </row>
    <row r="56" spans="1:9">
      <c r="A56" s="65">
        <v>26</v>
      </c>
      <c r="B56" s="98">
        <v>14</v>
      </c>
      <c r="C56" s="99">
        <v>54</v>
      </c>
      <c r="D56" s="100">
        <f>E10</f>
        <v>91.023980312921267</v>
      </c>
      <c r="E56" s="100">
        <f>E11</f>
        <v>0.67984711188874447</v>
      </c>
      <c r="F56" s="97">
        <f>E12</f>
        <v>0.59325911393343489</v>
      </c>
      <c r="G56" s="100">
        <f>E13</f>
        <v>97.546930040551118</v>
      </c>
      <c r="H56" s="100">
        <f>E14</f>
        <v>6.5229497276298503</v>
      </c>
      <c r="I56" s="97">
        <f>E15</f>
        <v>6.4189147640425586E-6</v>
      </c>
    </row>
    <row r="57" spans="1:9">
      <c r="A57" s="65">
        <v>26</v>
      </c>
      <c r="B57" s="98">
        <v>14</v>
      </c>
      <c r="C57" s="101">
        <v>55</v>
      </c>
      <c r="D57" s="100">
        <f>F10</f>
        <v>92.487412252889442</v>
      </c>
      <c r="E57" s="100">
        <f>F11</f>
        <v>0.67984711188874447</v>
      </c>
      <c r="F57" s="97">
        <f>F12</f>
        <v>0.59325911393343489</v>
      </c>
      <c r="G57" s="100">
        <f>F13</f>
        <v>92.452172350101804</v>
      </c>
      <c r="H57" s="100">
        <f>F14</f>
        <v>-3.8102377317330967E-2</v>
      </c>
      <c r="I57" s="97">
        <f>F15</f>
        <v>0.97928651625706709</v>
      </c>
    </row>
    <row r="58" spans="1:9">
      <c r="A58" s="65">
        <v>26</v>
      </c>
      <c r="B58" s="98">
        <v>14</v>
      </c>
      <c r="C58" s="101">
        <v>56</v>
      </c>
      <c r="D58" s="100">
        <f>G10</f>
        <v>5.883245507675964</v>
      </c>
      <c r="E58" s="100">
        <f>G11</f>
        <v>0.13244400253639882</v>
      </c>
      <c r="F58" s="97">
        <f>G12</f>
        <v>0.11930568709914813</v>
      </c>
      <c r="G58" s="100">
        <f>G13</f>
        <v>6.3087418318559854</v>
      </c>
      <c r="H58" s="100">
        <f>G14</f>
        <v>0.42549632418002137</v>
      </c>
      <c r="I58" s="97">
        <f>G15</f>
        <v>2.0568794336791696E-3</v>
      </c>
    </row>
    <row r="59" spans="1:9">
      <c r="A59" s="65">
        <v>26</v>
      </c>
      <c r="B59" s="98">
        <v>15</v>
      </c>
      <c r="C59" s="99">
        <v>51</v>
      </c>
      <c r="D59" s="100">
        <f>C16</f>
        <v>0.78866666650133399</v>
      </c>
      <c r="E59" s="100">
        <f>C17</f>
        <v>1.1449674241008403</v>
      </c>
      <c r="F59" s="97">
        <f>C18</f>
        <v>6.1311653012232861E-2</v>
      </c>
      <c r="G59" s="100">
        <f>C19</f>
        <v>2.2333338665013329</v>
      </c>
      <c r="H59" s="100">
        <f>C20</f>
        <v>1.4446671999999987</v>
      </c>
      <c r="I59" s="97">
        <f>C21</f>
        <v>9.9221422676572593E-3</v>
      </c>
    </row>
    <row r="60" spans="1:9">
      <c r="A60" s="65">
        <v>26</v>
      </c>
      <c r="B60" s="98">
        <v>15</v>
      </c>
      <c r="C60" s="99">
        <v>52</v>
      </c>
      <c r="D60" s="100">
        <f>D16</f>
        <v>50.577619047619038</v>
      </c>
      <c r="E60" s="100">
        <f>D17</f>
        <v>4.7302399491498415</v>
      </c>
      <c r="F60" s="97">
        <f>D18</f>
        <v>0.2366498497891445</v>
      </c>
      <c r="G60" s="100">
        <f>D19</f>
        <v>50.427686453373809</v>
      </c>
      <c r="H60" s="100">
        <f>D20</f>
        <v>-0.29644059382088433</v>
      </c>
      <c r="I60" s="97">
        <f>D21</f>
        <v>0.97237890824511697</v>
      </c>
    </row>
    <row r="61" spans="1:9">
      <c r="A61" s="65">
        <v>26</v>
      </c>
      <c r="B61" s="98">
        <v>15</v>
      </c>
      <c r="C61" s="99">
        <v>54</v>
      </c>
      <c r="D61" s="100">
        <f>E16</f>
        <v>80.252642849672071</v>
      </c>
      <c r="E61" s="100">
        <f>E17</f>
        <v>5.9518669061950247</v>
      </c>
      <c r="F61" s="97">
        <f>E18</f>
        <v>0.12956039001386976</v>
      </c>
      <c r="G61" s="100">
        <f>E19</f>
        <v>87.290366075242801</v>
      </c>
      <c r="H61" s="100">
        <f>E20</f>
        <v>7.0377232255707298</v>
      </c>
      <c r="I61" s="97">
        <f>E21</f>
        <v>8.7863910277724538E-3</v>
      </c>
    </row>
    <row r="62" spans="1:9">
      <c r="A62" s="65">
        <v>26</v>
      </c>
      <c r="B62" s="98">
        <v>15</v>
      </c>
      <c r="C62" s="101">
        <v>55</v>
      </c>
      <c r="D62" s="102">
        <f>F16</f>
        <v>79.639909070623943</v>
      </c>
      <c r="E62" s="100">
        <f>F17</f>
        <v>5.9518669061950247</v>
      </c>
      <c r="F62" s="97">
        <f>F18</f>
        <v>0.12956039001386976</v>
      </c>
      <c r="G62" s="100">
        <f>F19</f>
        <v>79.640590049085347</v>
      </c>
      <c r="H62" s="100">
        <f>F20</f>
        <v>8.5507187206102257E-4</v>
      </c>
      <c r="I62" s="97">
        <f>F21</f>
        <v>0.99973990848592664</v>
      </c>
    </row>
    <row r="63" spans="1:9">
      <c r="A63" s="65">
        <v>26</v>
      </c>
      <c r="B63" s="98">
        <v>15</v>
      </c>
      <c r="C63" s="101">
        <v>56</v>
      </c>
      <c r="D63" s="102">
        <f>G16</f>
        <v>3.2272072626425481</v>
      </c>
      <c r="E63" s="100">
        <f>G17</f>
        <v>0.3223482449406313</v>
      </c>
      <c r="F63" s="97">
        <f>G18</f>
        <v>9.1976790784257509E-2</v>
      </c>
      <c r="G63" s="100">
        <f>G19</f>
        <v>3.5555212819102384</v>
      </c>
      <c r="H63" s="100">
        <f>G20</f>
        <v>0.32831401926769033</v>
      </c>
      <c r="I63" s="97">
        <f>G21</f>
        <v>4.6895039774776964E-2</v>
      </c>
    </row>
    <row r="64" spans="1:9">
      <c r="A64" s="65">
        <v>26</v>
      </c>
      <c r="B64" s="98">
        <v>16</v>
      </c>
      <c r="C64" s="99">
        <v>51</v>
      </c>
      <c r="D64" s="100">
        <f>C22</f>
        <v>-4.1265727927531861</v>
      </c>
      <c r="E64" s="103">
        <f>C23</f>
        <v>0.42928123020800357</v>
      </c>
      <c r="F64" s="104">
        <f>C24</f>
        <v>0.40204319582198844</v>
      </c>
      <c r="G64" s="100">
        <v>-1.4137662549199208</v>
      </c>
      <c r="H64" s="100">
        <v>1.2</v>
      </c>
      <c r="I64" s="97">
        <v>0.01</v>
      </c>
    </row>
    <row r="65" spans="1:9">
      <c r="A65" s="65">
        <v>26</v>
      </c>
      <c r="B65" s="98">
        <v>16</v>
      </c>
      <c r="C65" s="99">
        <v>52</v>
      </c>
      <c r="D65" s="100">
        <f>D22</f>
        <v>123.65015873015872</v>
      </c>
      <c r="E65" s="103">
        <f>D23</f>
        <v>3.7902855024100934</v>
      </c>
      <c r="F65" s="104">
        <f>D24</f>
        <v>0.60671404663685768</v>
      </c>
      <c r="G65" s="100">
        <f>D25</f>
        <v>139.25067471419948</v>
      </c>
      <c r="H65" s="100">
        <f>D26</f>
        <v>12.616656657987566</v>
      </c>
      <c r="I65" s="97">
        <f>D27</f>
        <v>4.3441521762633536E-2</v>
      </c>
    </row>
    <row r="66" spans="1:9">
      <c r="A66" s="65">
        <v>26</v>
      </c>
      <c r="B66" s="98">
        <v>16</v>
      </c>
      <c r="C66" s="99">
        <v>54</v>
      </c>
      <c r="D66" s="100">
        <f>E22</f>
        <v>84.936276067093502</v>
      </c>
      <c r="E66" s="103">
        <f>E23</f>
        <v>-0.39601091854393172</v>
      </c>
      <c r="F66" s="104">
        <f>E24</f>
        <v>0.54801634391112386</v>
      </c>
      <c r="G66" s="100">
        <f>E25</f>
        <v>88.294675678680264</v>
      </c>
      <c r="H66" s="100">
        <f>E26</f>
        <v>3.358399611586762</v>
      </c>
      <c r="I66" s="97">
        <f>E27</f>
        <v>0.11539301538872682</v>
      </c>
    </row>
    <row r="67" spans="1:9">
      <c r="A67" s="65">
        <v>26</v>
      </c>
      <c r="B67" s="98">
        <v>16</v>
      </c>
      <c r="C67" s="101">
        <v>55</v>
      </c>
      <c r="D67" s="105">
        <f>F22</f>
        <v>97.466528115936455</v>
      </c>
      <c r="E67" s="106">
        <f>F23</f>
        <v>-0.39601091854393172</v>
      </c>
      <c r="F67" s="107">
        <f>F24</f>
        <v>0.54801634391112386</v>
      </c>
      <c r="G67" s="100">
        <f>F25</f>
        <v>97.112960553298009</v>
      </c>
      <c r="H67" s="100">
        <f>F26</f>
        <v>-0.36275793287505104</v>
      </c>
      <c r="I67" s="97">
        <f>F27</f>
        <v>0.49041582972991893</v>
      </c>
    </row>
    <row r="68" spans="1:9">
      <c r="A68" s="65">
        <v>26</v>
      </c>
      <c r="B68" s="98">
        <v>16</v>
      </c>
      <c r="C68" s="101">
        <v>56</v>
      </c>
      <c r="D68" s="108">
        <f>G22</f>
        <v>24.039411617452757</v>
      </c>
      <c r="E68" s="100">
        <f>G23</f>
        <v>0.80064675235631755</v>
      </c>
      <c r="F68" s="97">
        <f>G24</f>
        <v>0.43601290762164768</v>
      </c>
      <c r="G68" s="100">
        <f>G25</f>
        <v>24.893995067648991</v>
      </c>
      <c r="H68" s="100">
        <f>G23</f>
        <v>0.80064675235631755</v>
      </c>
      <c r="I68" s="97">
        <f>G24</f>
        <v>0.43601290762164768</v>
      </c>
    </row>
    <row r="69" spans="1:9">
      <c r="A69" s="65">
        <v>26</v>
      </c>
      <c r="B69" s="98">
        <v>17</v>
      </c>
      <c r="C69" s="99">
        <v>51</v>
      </c>
      <c r="D69" s="100">
        <f>C28</f>
        <v>7.79533777103895</v>
      </c>
      <c r="E69" s="103">
        <f>C29</f>
        <v>0.45391426013622105</v>
      </c>
      <c r="F69" s="104">
        <f>C30</f>
        <v>7.380259925237323E-2</v>
      </c>
      <c r="G69" s="100">
        <f>C31</f>
        <v>8.5899123710389489</v>
      </c>
      <c r="H69" s="100">
        <f>C32</f>
        <v>0.79457459999999891</v>
      </c>
      <c r="I69" s="97">
        <f>C33</f>
        <v>4.7221668369859405E-3</v>
      </c>
    </row>
    <row r="70" spans="1:9">
      <c r="A70" s="65">
        <v>26</v>
      </c>
      <c r="B70" s="98">
        <v>17</v>
      </c>
      <c r="C70" s="99">
        <v>52</v>
      </c>
      <c r="D70" s="100">
        <f>D28</f>
        <v>135.00428571428571</v>
      </c>
      <c r="E70" s="103">
        <f>D29</f>
        <v>3.970792944541564</v>
      </c>
      <c r="F70" s="104">
        <f>D30</f>
        <v>0.61538662918106524</v>
      </c>
      <c r="G70" s="100">
        <f>D31</f>
        <v>145.75196120765273</v>
      </c>
      <c r="H70" s="100">
        <f>D32</f>
        <v>7.9609883764080545</v>
      </c>
      <c r="I70" s="97">
        <f>D33</f>
        <v>0.30006391494921425</v>
      </c>
    </row>
    <row r="71" spans="1:9">
      <c r="A71" s="65">
        <v>26</v>
      </c>
      <c r="B71" s="98">
        <v>17</v>
      </c>
      <c r="C71" s="99">
        <v>54</v>
      </c>
      <c r="D71" s="100">
        <f>E28</f>
        <v>98.20182258112392</v>
      </c>
      <c r="E71" s="103">
        <f>E29</f>
        <v>7.9208806857461511E-2</v>
      </c>
      <c r="F71" s="104">
        <f>E30</f>
        <v>0.83082232566311887</v>
      </c>
      <c r="G71" s="100">
        <f>E31</f>
        <v>96.172526319681026</v>
      </c>
      <c r="H71" s="100">
        <f>E32</f>
        <v>-2.0292962614428944</v>
      </c>
      <c r="I71" s="97">
        <f>E33</f>
        <v>4.2085864613414327E-2</v>
      </c>
    </row>
    <row r="72" spans="1:9">
      <c r="A72" s="65">
        <v>26</v>
      </c>
      <c r="B72" s="98">
        <v>17</v>
      </c>
      <c r="C72" s="101">
        <v>55</v>
      </c>
      <c r="D72" s="105">
        <f>F28</f>
        <v>98.368940429122659</v>
      </c>
      <c r="E72" s="106">
        <f>F29</f>
        <v>7.9208806857461511E-2</v>
      </c>
      <c r="F72" s="107">
        <f>F30</f>
        <v>0.83082232566311887</v>
      </c>
      <c r="G72" s="100">
        <f>F31</f>
        <v>97.459608688985924</v>
      </c>
      <c r="H72" s="100">
        <f>F32</f>
        <v>-0.92440940826432738</v>
      </c>
      <c r="I72" s="97">
        <f>F33</f>
        <v>9.3787669339294319E-2</v>
      </c>
    </row>
    <row r="73" spans="1:9">
      <c r="A73" s="65">
        <v>26</v>
      </c>
      <c r="B73" s="98">
        <v>17</v>
      </c>
      <c r="C73" s="101">
        <v>56</v>
      </c>
      <c r="D73" s="108">
        <f>G28</f>
        <v>34.774613946171108</v>
      </c>
      <c r="E73" s="100">
        <f>G29</f>
        <v>0.23374297893441323</v>
      </c>
      <c r="F73" s="97">
        <f>G30</f>
        <v>0.35270287473208695</v>
      </c>
      <c r="G73" s="100">
        <f>G31</f>
        <v>33.734261092294936</v>
      </c>
      <c r="H73" s="100">
        <f>G32</f>
        <v>-1.0403528538761719</v>
      </c>
      <c r="I73" s="97">
        <f>G33</f>
        <v>9.8529897520185181E-3</v>
      </c>
    </row>
    <row r="74" spans="1:9">
      <c r="A74" s="65">
        <v>26</v>
      </c>
      <c r="B74" s="98">
        <v>18</v>
      </c>
      <c r="C74" s="99">
        <v>51</v>
      </c>
      <c r="D74" s="100">
        <f>C34</f>
        <v>17.825587293685416</v>
      </c>
      <c r="E74" s="103">
        <f>C35</f>
        <v>0.45757718922014856</v>
      </c>
      <c r="F74" s="104">
        <f>C36</f>
        <v>0.21871734117117614</v>
      </c>
      <c r="G74" s="100">
        <f>C37</f>
        <v>18.900172460352085</v>
      </c>
      <c r="H74" s="100">
        <f>C38</f>
        <v>1.0745851666666688</v>
      </c>
      <c r="I74" s="97">
        <f>C39</f>
        <v>5.6609035383585124E-4</v>
      </c>
    </row>
    <row r="75" spans="1:9">
      <c r="A75" s="65">
        <v>26</v>
      </c>
      <c r="B75" s="98">
        <v>18</v>
      </c>
      <c r="C75" s="99">
        <v>52</v>
      </c>
      <c r="D75" s="100">
        <f>D34</f>
        <v>76.197142857142879</v>
      </c>
      <c r="E75" s="103">
        <f>D35</f>
        <v>-15.031749563006549</v>
      </c>
      <c r="F75" s="104">
        <f>D36</f>
        <v>3.3844871534620367E-2</v>
      </c>
      <c r="G75" s="100">
        <f>D37</f>
        <v>76.62780694756205</v>
      </c>
      <c r="H75" s="100">
        <f>D38</f>
        <v>0.56519716392331765</v>
      </c>
      <c r="I75" s="97">
        <f>D39</f>
        <v>0.94180107006149538</v>
      </c>
    </row>
    <row r="76" spans="1:9">
      <c r="A76" s="65">
        <v>26</v>
      </c>
      <c r="B76" s="98">
        <v>18</v>
      </c>
      <c r="C76" s="99">
        <v>54</v>
      </c>
      <c r="D76" s="100">
        <f>E34</f>
        <v>93.904181652960929</v>
      </c>
      <c r="E76" s="103">
        <f>E35</f>
        <v>5.7058812444132592</v>
      </c>
      <c r="F76" s="104">
        <f>E36</f>
        <v>6.3129424647601351E-2</v>
      </c>
      <c r="G76" s="100">
        <f>E37</f>
        <v>92.986357956130092</v>
      </c>
      <c r="H76" s="100">
        <f>E38</f>
        <v>-0.91782369683083687</v>
      </c>
      <c r="I76" s="97">
        <f>E39</f>
        <v>0.16120892309281332</v>
      </c>
    </row>
    <row r="77" spans="1:9">
      <c r="A77" s="65">
        <v>26</v>
      </c>
      <c r="B77" s="98">
        <v>18</v>
      </c>
      <c r="C77" s="101">
        <v>55</v>
      </c>
      <c r="D77" s="105">
        <f>F34</f>
        <v>80.664283721016702</v>
      </c>
      <c r="E77" s="106">
        <f>F35</f>
        <v>5.7058812444132592</v>
      </c>
      <c r="F77" s="107">
        <f>F36</f>
        <v>6.3129424647601351E-2</v>
      </c>
      <c r="G77" s="100">
        <f>F37</f>
        <v>79.911027395671823</v>
      </c>
      <c r="H77" s="100">
        <f>F38</f>
        <v>-0.93381641861479192</v>
      </c>
      <c r="I77" s="97">
        <f>F39</f>
        <v>0.86676713345446577</v>
      </c>
    </row>
    <row r="78" spans="1:9">
      <c r="A78" s="65">
        <v>26</v>
      </c>
      <c r="B78" s="98">
        <v>18</v>
      </c>
      <c r="C78" s="101">
        <v>56</v>
      </c>
      <c r="D78" s="108">
        <f>G34</f>
        <v>6.7833803464590989</v>
      </c>
      <c r="E78" s="100">
        <f>G35</f>
        <v>0.33884002930894924</v>
      </c>
      <c r="F78" s="97">
        <f>G36</f>
        <v>0.21652063769297225</v>
      </c>
      <c r="G78" s="100">
        <f>G37</f>
        <v>6.6539804499315034</v>
      </c>
      <c r="H78" s="100">
        <f>G38</f>
        <v>-0.12939989652759554</v>
      </c>
      <c r="I78" s="97">
        <f>G39</f>
        <v>0.7019277813986029</v>
      </c>
    </row>
    <row r="79" spans="1:9">
      <c r="A79" s="65">
        <v>26</v>
      </c>
      <c r="B79" s="98">
        <v>19</v>
      </c>
      <c r="C79" s="99">
        <v>51</v>
      </c>
      <c r="D79" s="100">
        <f>C40</f>
        <v>19.697941627736824</v>
      </c>
      <c r="E79" s="103">
        <f>C41</f>
        <v>1.14974036686208</v>
      </c>
      <c r="F79" s="104">
        <f>C42</f>
        <v>1.1682963392097277E-3</v>
      </c>
      <c r="G79" s="100">
        <f>C43</f>
        <v>20.287021761070154</v>
      </c>
      <c r="H79" s="100">
        <f>C44</f>
        <v>0.58908013333332931</v>
      </c>
      <c r="I79" s="97">
        <f>C45</f>
        <v>8.8085622073519221E-2</v>
      </c>
    </row>
    <row r="80" spans="1:9">
      <c r="A80" s="65">
        <v>26</v>
      </c>
      <c r="B80" s="98">
        <v>19</v>
      </c>
      <c r="C80" s="99">
        <v>52</v>
      </c>
      <c r="D80" s="100">
        <f>D40</f>
        <v>80.22571428571429</v>
      </c>
      <c r="E80" s="100">
        <f>D41</f>
        <v>-2.5683775623708636</v>
      </c>
      <c r="F80" s="104">
        <f>D42</f>
        <v>0.72260932419936863</v>
      </c>
      <c r="G80" s="100">
        <f>D43</f>
        <v>76.889836889641444</v>
      </c>
      <c r="H80" s="100">
        <f>D44</f>
        <v>-4.1581149208500801</v>
      </c>
      <c r="I80" s="97">
        <f>D45</f>
        <v>0.64537012482900802</v>
      </c>
    </row>
    <row r="81" spans="1:9">
      <c r="A81" s="65">
        <v>26</v>
      </c>
      <c r="B81" s="98">
        <v>19</v>
      </c>
      <c r="C81" s="99">
        <v>54</v>
      </c>
      <c r="D81" s="100">
        <f>E40</f>
        <v>91.822610403960894</v>
      </c>
      <c r="E81" s="103">
        <f>E41</f>
        <v>1.319932667260431</v>
      </c>
      <c r="F81" s="104">
        <f>E42</f>
        <v>0.68690841732599717</v>
      </c>
      <c r="G81" s="100">
        <f>E43</f>
        <v>95.472717791901459</v>
      </c>
      <c r="H81" s="100">
        <f>E44</f>
        <v>3.6501073879405652</v>
      </c>
      <c r="I81" s="97">
        <f>E45</f>
        <v>8.5872811497095025E-2</v>
      </c>
    </row>
    <row r="82" spans="1:9">
      <c r="A82" s="65">
        <v>26</v>
      </c>
      <c r="B82" s="98">
        <v>19</v>
      </c>
      <c r="C82" s="101">
        <v>55</v>
      </c>
      <c r="D82" s="105">
        <f>F40</f>
        <v>74.390334109787815</v>
      </c>
      <c r="E82" s="106">
        <f>F41</f>
        <v>1.319932667260431</v>
      </c>
      <c r="F82" s="107">
        <f>F42</f>
        <v>0.68690841732599717</v>
      </c>
      <c r="G82" s="100">
        <f>F43</f>
        <v>76.640969215256845</v>
      </c>
      <c r="H82" s="100">
        <f>F44</f>
        <v>3.0254402435502823</v>
      </c>
      <c r="I82" s="97">
        <f>F45</f>
        <v>0.61504157786357916</v>
      </c>
    </row>
    <row r="83" spans="1:9">
      <c r="A83" s="65">
        <v>26</v>
      </c>
      <c r="B83" s="98">
        <v>19</v>
      </c>
      <c r="C83" s="101">
        <v>56</v>
      </c>
      <c r="D83" s="108">
        <f>G40</f>
        <v>4.8087705869733384</v>
      </c>
      <c r="E83" s="106">
        <f>G41</f>
        <v>0.23569930322136048</v>
      </c>
      <c r="F83" s="109">
        <f>G42</f>
        <v>0.32604995540176163</v>
      </c>
      <c r="G83" s="100">
        <f>G43</f>
        <v>5.0980614861441911</v>
      </c>
      <c r="H83" s="100">
        <f>G44</f>
        <v>0.28929089917085271</v>
      </c>
      <c r="I83" s="97">
        <f>G45</f>
        <v>0.34179283570487495</v>
      </c>
    </row>
  </sheetData>
  <mergeCells count="10">
    <mergeCell ref="C2:G2"/>
    <mergeCell ref="A40:A45"/>
    <mergeCell ref="B2:B3"/>
    <mergeCell ref="A2:A3"/>
    <mergeCell ref="A4:A9"/>
    <mergeCell ref="A10:A15"/>
    <mergeCell ref="A16:A21"/>
    <mergeCell ref="A22:A27"/>
    <mergeCell ref="A28:A33"/>
    <mergeCell ref="A34:A39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7"/>
  <dimension ref="A1:J911"/>
  <sheetViews>
    <sheetView tabSelected="1" topLeftCell="A861" workbookViewId="0">
      <selection activeCell="D8" sqref="D8"/>
    </sheetView>
  </sheetViews>
  <sheetFormatPr defaultRowHeight="15"/>
  <cols>
    <col min="1" max="1" width="9.42578125" style="196" bestFit="1" customWidth="1"/>
    <col min="2" max="2" width="9" style="196" bestFit="1" customWidth="1"/>
    <col min="3" max="3" width="9.140625" style="196"/>
    <col min="4" max="4" width="10.28515625" style="196" bestFit="1" customWidth="1"/>
    <col min="5" max="5" width="11.7109375" style="197" bestFit="1" customWidth="1"/>
    <col min="6" max="6" width="19" style="197" bestFit="1" customWidth="1"/>
    <col min="7" max="7" width="11.5703125" style="198" bestFit="1" customWidth="1"/>
    <col min="8" max="8" width="14.85546875" style="197" bestFit="1" customWidth="1"/>
    <col min="9" max="9" width="5.28515625" style="197" bestFit="1" customWidth="1"/>
    <col min="10" max="10" width="14.7109375" style="198" bestFit="1" customWidth="1"/>
  </cols>
  <sheetData>
    <row r="1" spans="1:10">
      <c r="A1" s="196" t="s">
        <v>24</v>
      </c>
      <c r="B1" s="196" t="s">
        <v>25</v>
      </c>
      <c r="C1" s="196" t="s">
        <v>26</v>
      </c>
      <c r="D1" s="196" t="s">
        <v>27</v>
      </c>
      <c r="E1" s="196" t="s">
        <v>28</v>
      </c>
      <c r="F1" s="196" t="s">
        <v>29</v>
      </c>
      <c r="G1" s="196" t="s">
        <v>30</v>
      </c>
      <c r="H1" s="196" t="s">
        <v>31</v>
      </c>
      <c r="I1" s="196" t="s">
        <v>32</v>
      </c>
      <c r="J1" s="196" t="s">
        <v>33</v>
      </c>
    </row>
    <row r="2" spans="1:10">
      <c r="A2" s="196">
        <v>1</v>
      </c>
      <c r="B2">
        <v>26</v>
      </c>
      <c r="C2" s="196">
        <v>13</v>
      </c>
      <c r="D2" s="196">
        <v>51</v>
      </c>
      <c r="E2" s="197">
        <v>20.302577033045811</v>
      </c>
      <c r="F2" s="197">
        <v>0.95192580078335398</v>
      </c>
      <c r="G2" s="198">
        <v>2.804115740402319E-5</v>
      </c>
      <c r="H2" s="197">
        <v>21.291096983045797</v>
      </c>
      <c r="I2" s="197">
        <v>0.98851994999998638</v>
      </c>
      <c r="J2" s="198">
        <v>1.8153369579274805E-3</v>
      </c>
    </row>
    <row r="3" spans="1:10">
      <c r="A3" s="196">
        <v>1</v>
      </c>
      <c r="B3">
        <v>26</v>
      </c>
      <c r="C3" s="196">
        <v>13</v>
      </c>
      <c r="D3" s="196">
        <v>52</v>
      </c>
      <c r="E3" s="197">
        <v>128.60436568924524</v>
      </c>
      <c r="F3" s="197">
        <v>2.7721535122301395</v>
      </c>
      <c r="G3" s="198">
        <v>0.67019426822662354</v>
      </c>
      <c r="H3" s="197">
        <v>128.60436568924524</v>
      </c>
      <c r="I3" s="197">
        <v>0.31905424465193583</v>
      </c>
      <c r="J3" s="198">
        <v>0.55631066487810754</v>
      </c>
    </row>
    <row r="4" spans="1:10">
      <c r="A4" s="196">
        <v>1</v>
      </c>
      <c r="B4">
        <v>26</v>
      </c>
      <c r="C4" s="196">
        <v>13</v>
      </c>
      <c r="D4" s="196">
        <v>54</v>
      </c>
      <c r="E4" s="197">
        <v>88.13291264419189</v>
      </c>
      <c r="F4" s="197">
        <v>-0.14209331028611835</v>
      </c>
      <c r="G4" s="198">
        <v>0.60288395527964944</v>
      </c>
      <c r="H4" s="197">
        <v>83.809563674667146</v>
      </c>
      <c r="I4" s="197">
        <v>-4.3233489695247442</v>
      </c>
      <c r="J4" s="198">
        <v>1.4636349754290149E-2</v>
      </c>
    </row>
    <row r="5" spans="1:10">
      <c r="A5" s="196">
        <v>1</v>
      </c>
      <c r="B5">
        <v>26</v>
      </c>
      <c r="C5" s="196">
        <v>13</v>
      </c>
      <c r="D5" s="196">
        <v>55</v>
      </c>
      <c r="E5" s="197">
        <v>99.152641116362673</v>
      </c>
      <c r="F5" s="197">
        <v>-0.14209331028611835</v>
      </c>
      <c r="G5" s="198">
        <v>0.60288395527964944</v>
      </c>
      <c r="H5" s="197">
        <v>99.468991826528935</v>
      </c>
      <c r="I5" s="197">
        <v>0.31905424465193583</v>
      </c>
      <c r="J5" s="198">
        <v>0.55631066487810754</v>
      </c>
    </row>
    <row r="6" spans="1:10">
      <c r="A6" s="196">
        <v>1</v>
      </c>
      <c r="B6">
        <v>26</v>
      </c>
      <c r="C6" s="196">
        <v>13</v>
      </c>
      <c r="D6" s="196">
        <v>56</v>
      </c>
      <c r="E6" s="197">
        <v>6.1155195630308725</v>
      </c>
      <c r="F6" s="197">
        <v>-0.57134965698368556</v>
      </c>
      <c r="G6" s="198">
        <v>4.1663514077932117E-5</v>
      </c>
      <c r="H6" s="197">
        <v>5.8476427197864549</v>
      </c>
      <c r="I6" s="197">
        <v>-0.26787684324441763</v>
      </c>
      <c r="J6" s="198">
        <v>5.2918440382808372E-2</v>
      </c>
    </row>
    <row r="7" spans="1:10">
      <c r="A7" s="196">
        <v>1</v>
      </c>
      <c r="B7">
        <v>26</v>
      </c>
      <c r="C7" s="196">
        <v>14</v>
      </c>
      <c r="D7" s="196">
        <v>51</v>
      </c>
      <c r="E7" s="197">
        <v>11.770437346673683</v>
      </c>
      <c r="F7" s="197">
        <v>0.23388115961896</v>
      </c>
      <c r="G7" s="198">
        <v>0.29062007371005583</v>
      </c>
      <c r="H7" s="197">
        <v>13.390931296673683</v>
      </c>
      <c r="I7" s="197">
        <v>1.6204939500000002</v>
      </c>
      <c r="J7" s="198">
        <v>1.9077153461978753E-6</v>
      </c>
    </row>
    <row r="8" spans="1:10">
      <c r="A8" s="196">
        <v>1</v>
      </c>
      <c r="B8">
        <v>26</v>
      </c>
      <c r="C8" s="196">
        <v>14</v>
      </c>
      <c r="D8" s="196">
        <v>52</v>
      </c>
      <c r="E8" s="197">
        <v>97.735853119475721</v>
      </c>
      <c r="F8" s="197">
        <v>10.811535754329331</v>
      </c>
      <c r="G8" s="198">
        <v>6.6827379167079926E-2</v>
      </c>
      <c r="H8" s="197">
        <v>97</v>
      </c>
      <c r="I8" s="197">
        <v>-0.35745780529499638</v>
      </c>
      <c r="J8" s="198">
        <v>0.8339139926996566</v>
      </c>
    </row>
    <row r="9" spans="1:10">
      <c r="A9" s="196">
        <v>1</v>
      </c>
      <c r="B9">
        <v>26</v>
      </c>
      <c r="C9" s="196">
        <v>14</v>
      </c>
      <c r="D9" s="196">
        <v>54</v>
      </c>
      <c r="E9" s="197">
        <v>97.499446366648073</v>
      </c>
      <c r="F9" s="197">
        <v>2.7587625459067984</v>
      </c>
      <c r="G9" s="198">
        <v>3.488710811944138E-2</v>
      </c>
      <c r="H9" s="197">
        <v>99.197681260945231</v>
      </c>
      <c r="I9" s="197">
        <v>1.6982348942971583</v>
      </c>
      <c r="J9" s="198">
        <v>6.6768756764505763E-2</v>
      </c>
    </row>
    <row r="10" spans="1:10">
      <c r="A10" s="196">
        <v>1</v>
      </c>
      <c r="B10">
        <v>26</v>
      </c>
      <c r="C10" s="196">
        <v>14</v>
      </c>
      <c r="D10" s="196">
        <v>55</v>
      </c>
      <c r="E10" s="197">
        <v>91.172165549031121</v>
      </c>
      <c r="F10" s="197">
        <v>2.7587625459067984</v>
      </c>
      <c r="G10" s="198">
        <v>3.488710811944138E-2</v>
      </c>
      <c r="H10" s="197">
        <v>90.84626352701963</v>
      </c>
      <c r="I10" s="197">
        <v>-0.35745780529499638</v>
      </c>
      <c r="J10" s="198">
        <v>0.8339139926996566</v>
      </c>
    </row>
    <row r="11" spans="1:10">
      <c r="A11" s="196">
        <v>1</v>
      </c>
      <c r="B11">
        <v>26</v>
      </c>
      <c r="C11" s="196">
        <v>14</v>
      </c>
      <c r="D11" s="196">
        <v>56</v>
      </c>
      <c r="E11" s="197">
        <v>6.2198049682513306</v>
      </c>
      <c r="F11" s="197">
        <v>0.22102867465840031</v>
      </c>
      <c r="G11" s="198">
        <v>1.1252089793326368E-2</v>
      </c>
      <c r="H11" s="197">
        <v>6.3010203648522607</v>
      </c>
      <c r="I11" s="197">
        <v>8.1215396600930134E-2</v>
      </c>
      <c r="J11" s="198">
        <v>0.55232526322242004</v>
      </c>
    </row>
    <row r="12" spans="1:10">
      <c r="A12" s="196">
        <v>1</v>
      </c>
      <c r="B12">
        <v>26</v>
      </c>
      <c r="C12" s="196">
        <v>15</v>
      </c>
      <c r="D12" s="196">
        <v>51</v>
      </c>
      <c r="E12" s="197">
        <v>2.7549393168140974</v>
      </c>
      <c r="F12" s="197">
        <v>1.24762784949599</v>
      </c>
      <c r="G12" s="198">
        <v>1.8066983871917915E-2</v>
      </c>
      <c r="H12" s="197">
        <v>3.8868678501474334</v>
      </c>
      <c r="I12" s="197">
        <v>1.131928533333336</v>
      </c>
      <c r="J12" s="198">
        <v>7.9019795953518147E-3</v>
      </c>
    </row>
    <row r="13" spans="1:10">
      <c r="A13" s="196">
        <v>1</v>
      </c>
      <c r="B13">
        <v>26</v>
      </c>
      <c r="C13" s="196">
        <v>15</v>
      </c>
      <c r="D13" s="196">
        <v>52</v>
      </c>
      <c r="E13" s="197">
        <v>45.779951871053534</v>
      </c>
      <c r="F13" s="197">
        <v>2.2931914103287974</v>
      </c>
      <c r="G13" s="198">
        <v>0.5414537787437439</v>
      </c>
      <c r="H13" s="197">
        <v>45.779951871053534</v>
      </c>
      <c r="I13" s="197">
        <v>0.96740119098769672</v>
      </c>
      <c r="J13" s="198">
        <v>0.72623887346671379</v>
      </c>
    </row>
    <row r="14" spans="1:10">
      <c r="A14" s="196">
        <v>1</v>
      </c>
      <c r="B14">
        <v>26</v>
      </c>
      <c r="C14" s="196">
        <v>15</v>
      </c>
      <c r="D14" s="196">
        <v>54</v>
      </c>
      <c r="E14" s="197">
        <v>89.882085326064939</v>
      </c>
      <c r="F14" s="197">
        <v>2.5732904869104245</v>
      </c>
      <c r="G14" s="198">
        <v>0.34554519858464738</v>
      </c>
      <c r="H14" s="197">
        <v>89.695056200259359</v>
      </c>
      <c r="I14" s="197">
        <v>-0.18702912580558007</v>
      </c>
      <c r="J14" s="198">
        <v>0.87490408725227709</v>
      </c>
    </row>
    <row r="15" spans="1:10">
      <c r="A15" s="196">
        <v>1</v>
      </c>
      <c r="B15">
        <v>26</v>
      </c>
      <c r="C15" s="196">
        <v>15</v>
      </c>
      <c r="D15" s="196">
        <v>55</v>
      </c>
      <c r="E15" s="197">
        <v>76.674182049802567</v>
      </c>
      <c r="F15" s="197">
        <v>2.5732904869104245</v>
      </c>
      <c r="G15" s="198">
        <v>0.34554519858464738</v>
      </c>
      <c r="H15" s="197">
        <v>77.415929000132436</v>
      </c>
      <c r="I15" s="197">
        <v>0.96740119098769672</v>
      </c>
      <c r="J15" s="198">
        <v>0.72623887346671379</v>
      </c>
    </row>
    <row r="16" spans="1:10">
      <c r="A16" s="196">
        <v>1</v>
      </c>
      <c r="B16">
        <v>26</v>
      </c>
      <c r="C16" s="196">
        <v>15</v>
      </c>
      <c r="D16" s="196">
        <v>56</v>
      </c>
      <c r="E16" s="197">
        <v>3.4506640803939481</v>
      </c>
      <c r="F16" s="197">
        <v>0.21740573108369837</v>
      </c>
      <c r="G16" s="198">
        <v>0.14618961832012423</v>
      </c>
      <c r="H16" s="197">
        <v>3.4921864594600134</v>
      </c>
      <c r="I16" s="197">
        <v>4.1522379066065263E-2</v>
      </c>
      <c r="J16" s="198">
        <v>0.74702943143160327</v>
      </c>
    </row>
    <row r="17" spans="1:10">
      <c r="A17" s="196">
        <v>1</v>
      </c>
      <c r="B17">
        <v>26</v>
      </c>
      <c r="C17" s="196">
        <v>16</v>
      </c>
      <c r="D17" s="196">
        <v>51</v>
      </c>
      <c r="E17" s="197">
        <v>-2.3150688687790497</v>
      </c>
      <c r="F17" s="197">
        <v>0.36420637295438302</v>
      </c>
      <c r="G17" s="198">
        <v>0.39393867907253399</v>
      </c>
      <c r="H17" s="197">
        <v>-1.4137662549199208</v>
      </c>
      <c r="I17" s="197">
        <v>1.2</v>
      </c>
      <c r="J17" s="198">
        <v>0.01</v>
      </c>
    </row>
    <row r="18" spans="1:10">
      <c r="A18" s="196">
        <v>1</v>
      </c>
      <c r="B18">
        <v>26</v>
      </c>
      <c r="C18" s="196">
        <v>16</v>
      </c>
      <c r="D18" s="196">
        <v>52</v>
      </c>
      <c r="E18" s="197">
        <v>120.50913913699482</v>
      </c>
      <c r="F18" s="197">
        <v>3.9949787000154249</v>
      </c>
      <c r="G18" s="198">
        <v>0.50766658782958984</v>
      </c>
      <c r="H18" s="197">
        <v>120</v>
      </c>
      <c r="I18" s="197">
        <v>-0.4652633322328949</v>
      </c>
      <c r="J18" s="198">
        <v>0.2447115543661974</v>
      </c>
    </row>
    <row r="19" spans="1:10">
      <c r="A19" s="196">
        <v>1</v>
      </c>
      <c r="B19">
        <v>26</v>
      </c>
      <c r="C19" s="196">
        <v>16</v>
      </c>
      <c r="D19" s="196">
        <v>54</v>
      </c>
      <c r="E19" s="197">
        <v>93.606801015969594</v>
      </c>
      <c r="F19" s="197">
        <v>-1.6363990740644221E-2</v>
      </c>
      <c r="G19" s="198">
        <v>0.72392838940441084</v>
      </c>
      <c r="H19" s="197">
        <v>90.389697445272162</v>
      </c>
      <c r="I19" s="197">
        <v>-3.2171035706974322</v>
      </c>
      <c r="J19" s="198">
        <v>8.4352918328716289E-2</v>
      </c>
    </row>
    <row r="20" spans="1:10">
      <c r="A20" s="196">
        <v>1</v>
      </c>
      <c r="B20">
        <v>26</v>
      </c>
      <c r="C20" s="196">
        <v>16</v>
      </c>
      <c r="D20" s="196">
        <v>55</v>
      </c>
      <c r="E20" s="197">
        <v>97.675921358653355</v>
      </c>
      <c r="F20" s="197">
        <v>-1.6363990740644221E-2</v>
      </c>
      <c r="G20" s="198">
        <v>0.72392838940441084</v>
      </c>
      <c r="H20" s="197">
        <v>97.221471112150908</v>
      </c>
      <c r="I20" s="197">
        <v>-0.4652633322328949</v>
      </c>
      <c r="J20" s="198">
        <v>0.2447115543661974</v>
      </c>
    </row>
    <row r="21" spans="1:10">
      <c r="A21" s="196">
        <v>1</v>
      </c>
      <c r="B21">
        <v>26</v>
      </c>
      <c r="C21" s="196">
        <v>16</v>
      </c>
      <c r="D21" s="196">
        <v>56</v>
      </c>
      <c r="E21" s="197">
        <v>26.509013686441158</v>
      </c>
      <c r="F21" s="197">
        <v>0.43702535986074087</v>
      </c>
      <c r="G21" s="198">
        <v>0.45977690446274599</v>
      </c>
      <c r="H21" s="197">
        <v>25.46317289789495</v>
      </c>
      <c r="I21" s="197">
        <v>0.43702535986074087</v>
      </c>
      <c r="J21" s="198">
        <v>0.45977690446274599</v>
      </c>
    </row>
    <row r="22" spans="1:10">
      <c r="A22" s="196">
        <v>1</v>
      </c>
      <c r="B22">
        <v>26</v>
      </c>
      <c r="C22" s="196">
        <v>17</v>
      </c>
      <c r="D22" s="196">
        <v>51</v>
      </c>
      <c r="E22" s="197">
        <v>8.6397165637417963</v>
      </c>
      <c r="F22" s="197">
        <v>0.49523590592824301</v>
      </c>
      <c r="G22" s="198">
        <v>4.3617726571352135E-2</v>
      </c>
      <c r="H22" s="197">
        <v>9.4346191415195726</v>
      </c>
      <c r="I22" s="197">
        <v>0.79490257777777629</v>
      </c>
      <c r="J22" s="198">
        <v>4.8975099495274861E-4</v>
      </c>
    </row>
    <row r="23" spans="1:10">
      <c r="A23" s="196">
        <v>1</v>
      </c>
      <c r="B23">
        <v>26</v>
      </c>
      <c r="C23" s="196">
        <v>17</v>
      </c>
      <c r="D23" s="196">
        <v>52</v>
      </c>
      <c r="E23" s="197">
        <v>135.55860156104109</v>
      </c>
      <c r="F23" s="197">
        <v>5.35002438743195</v>
      </c>
      <c r="G23" s="198">
        <v>0.31758099794387817</v>
      </c>
      <c r="H23" s="197">
        <v>135</v>
      </c>
      <c r="I23" s="197">
        <v>-0.18072104854624005</v>
      </c>
      <c r="J23" s="198">
        <v>0.45847840382132998</v>
      </c>
    </row>
    <row r="24" spans="1:10">
      <c r="A24" s="196">
        <v>1</v>
      </c>
      <c r="B24">
        <v>26</v>
      </c>
      <c r="C24" s="196">
        <v>17</v>
      </c>
      <c r="D24" s="196">
        <v>54</v>
      </c>
      <c r="E24" s="197">
        <v>97.07335456217983</v>
      </c>
      <c r="F24" s="197">
        <v>3.6209646758115652E-2</v>
      </c>
      <c r="G24" s="198">
        <v>0.90027797641080032</v>
      </c>
      <c r="H24" s="197">
        <v>92.647333072264033</v>
      </c>
      <c r="I24" s="197">
        <v>-4.4260214899157972</v>
      </c>
      <c r="J24" s="198">
        <v>5.4860207660757773E-4</v>
      </c>
    </row>
    <row r="25" spans="1:10">
      <c r="A25" s="196">
        <v>1</v>
      </c>
      <c r="B25">
        <v>26</v>
      </c>
      <c r="C25" s="196">
        <v>17</v>
      </c>
      <c r="D25" s="196">
        <v>55</v>
      </c>
      <c r="E25" s="197">
        <v>98.884671559949581</v>
      </c>
      <c r="F25" s="197">
        <v>3.6209646758115652E-2</v>
      </c>
      <c r="G25" s="198">
        <v>0.90027797641080032</v>
      </c>
      <c r="H25" s="197">
        <v>98.705966144654937</v>
      </c>
      <c r="I25" s="197">
        <v>-0.18072104854624005</v>
      </c>
      <c r="J25" s="198">
        <v>0.45847840382132998</v>
      </c>
    </row>
    <row r="26" spans="1:10">
      <c r="A26" s="196">
        <v>1</v>
      </c>
      <c r="B26">
        <v>26</v>
      </c>
      <c r="C26" s="196">
        <v>17</v>
      </c>
      <c r="D26" s="196">
        <v>56</v>
      </c>
      <c r="E26" s="197">
        <v>34.558984803239277</v>
      </c>
      <c r="F26" s="197">
        <v>-0.11187812330866392</v>
      </c>
      <c r="G26" s="198">
        <v>0.72215489719800019</v>
      </c>
      <c r="H26" s="197">
        <v>32.914485012545853</v>
      </c>
      <c r="I26" s="197">
        <v>-1.6444997906934233</v>
      </c>
      <c r="J26" s="198">
        <v>4.8462162310009959E-4</v>
      </c>
    </row>
    <row r="27" spans="1:10">
      <c r="A27" s="196">
        <v>1</v>
      </c>
      <c r="B27">
        <v>26</v>
      </c>
      <c r="C27" s="196">
        <v>18</v>
      </c>
      <c r="D27" s="196">
        <v>51</v>
      </c>
      <c r="E27" s="197">
        <v>18.498833112256523</v>
      </c>
      <c r="F27" s="197">
        <v>0.57561582829354196</v>
      </c>
      <c r="G27" s="198">
        <v>4.43579327653928E-2</v>
      </c>
      <c r="H27" s="197">
        <v>19.550693812256522</v>
      </c>
      <c r="I27" s="197">
        <v>1.0518606999999989</v>
      </c>
      <c r="J27" s="198">
        <v>2.5120011911417938E-4</v>
      </c>
    </row>
    <row r="28" spans="1:10">
      <c r="A28" s="196">
        <v>1</v>
      </c>
      <c r="B28">
        <v>26</v>
      </c>
      <c r="C28" s="196">
        <v>18</v>
      </c>
      <c r="D28" s="196">
        <v>52</v>
      </c>
      <c r="E28" s="197">
        <v>74.275171168539515</v>
      </c>
      <c r="F28" s="197">
        <v>-4.4976057335817412</v>
      </c>
      <c r="G28" s="198">
        <v>0.24359624087810516</v>
      </c>
      <c r="H28" s="197">
        <v>73</v>
      </c>
      <c r="I28" s="197">
        <v>-1.9956893864113676</v>
      </c>
      <c r="J28" s="198">
        <v>0.40446726642084119</v>
      </c>
    </row>
    <row r="29" spans="1:10">
      <c r="A29" s="196">
        <v>1</v>
      </c>
      <c r="B29">
        <v>26</v>
      </c>
      <c r="C29" s="196">
        <v>18</v>
      </c>
      <c r="D29" s="196">
        <v>54</v>
      </c>
      <c r="E29" s="197">
        <v>92.677489858301612</v>
      </c>
      <c r="F29" s="197">
        <v>1.8328169645483186</v>
      </c>
      <c r="G29" s="198">
        <v>0.273878430525204</v>
      </c>
      <c r="H29" s="197">
        <v>90.170289443297278</v>
      </c>
      <c r="I29" s="197">
        <v>-2.5072004150043341</v>
      </c>
      <c r="J29" s="198">
        <v>2.3012456746305684E-3</v>
      </c>
    </row>
    <row r="30" spans="1:10">
      <c r="A30" s="196">
        <v>1</v>
      </c>
      <c r="B30">
        <v>26</v>
      </c>
      <c r="C30" s="196">
        <v>18</v>
      </c>
      <c r="D30" s="196">
        <v>55</v>
      </c>
      <c r="E30" s="197">
        <v>82.558455713626415</v>
      </c>
      <c r="F30" s="197">
        <v>1.8328169645483186</v>
      </c>
      <c r="G30" s="198">
        <v>0.273878430525204</v>
      </c>
      <c r="H30" s="197">
        <v>80.910845375364445</v>
      </c>
      <c r="I30" s="197">
        <v>-1.9956893864113676</v>
      </c>
      <c r="J30" s="198">
        <v>0.40446726642084119</v>
      </c>
    </row>
    <row r="31" spans="1:10">
      <c r="A31" s="196">
        <v>1</v>
      </c>
      <c r="B31">
        <v>26</v>
      </c>
      <c r="C31" s="196">
        <v>18</v>
      </c>
      <c r="D31" s="196">
        <v>56</v>
      </c>
      <c r="E31" s="197">
        <v>6.8715723732599221</v>
      </c>
      <c r="F31" s="197">
        <v>-9.5344324467014505E-2</v>
      </c>
      <c r="G31" s="198">
        <v>0.60181388223026455</v>
      </c>
      <c r="H31" s="197">
        <v>6.5306688489908282</v>
      </c>
      <c r="I31" s="197">
        <v>-0.34090352426909387</v>
      </c>
      <c r="J31" s="198">
        <v>3.023303035734199E-2</v>
      </c>
    </row>
    <row r="32" spans="1:10">
      <c r="A32" s="196">
        <v>1</v>
      </c>
      <c r="B32">
        <v>26</v>
      </c>
      <c r="C32" s="196">
        <v>19</v>
      </c>
      <c r="D32" s="196">
        <v>51</v>
      </c>
      <c r="E32" s="197">
        <v>20.659466004997185</v>
      </c>
      <c r="F32" s="197">
        <v>0.99456559096632502</v>
      </c>
      <c r="G32" s="198">
        <v>9.0484342699790352E-4</v>
      </c>
      <c r="H32" s="197">
        <v>21.430242738330517</v>
      </c>
      <c r="I32" s="197">
        <v>0.77077673333333152</v>
      </c>
      <c r="J32" s="198">
        <v>1.9622963199167821E-2</v>
      </c>
    </row>
    <row r="33" spans="1:10">
      <c r="A33" s="196">
        <v>1</v>
      </c>
      <c r="B33">
        <v>26</v>
      </c>
      <c r="C33" s="196">
        <v>19</v>
      </c>
      <c r="D33" s="196">
        <v>52</v>
      </c>
      <c r="E33" s="197">
        <v>72.558255626036427</v>
      </c>
      <c r="F33" s="197">
        <v>1.8235552454195623</v>
      </c>
      <c r="G33" s="198">
        <v>0.73721367120742798</v>
      </c>
      <c r="H33" s="197">
        <v>72</v>
      </c>
      <c r="I33" s="197">
        <v>-1.1485059532280557</v>
      </c>
      <c r="J33" s="198">
        <v>0.72571291016438966</v>
      </c>
    </row>
    <row r="34" spans="1:10">
      <c r="A34" s="196">
        <v>1</v>
      </c>
      <c r="B34">
        <v>26</v>
      </c>
      <c r="C34" s="196">
        <v>19</v>
      </c>
      <c r="D34" s="196">
        <v>54</v>
      </c>
      <c r="E34" s="197">
        <v>95.83263846099382</v>
      </c>
      <c r="F34" s="197">
        <v>-0.84844885552931104</v>
      </c>
      <c r="G34" s="198">
        <v>0.72225305840431242</v>
      </c>
      <c r="H34" s="197">
        <v>99.264859537319523</v>
      </c>
      <c r="I34" s="197">
        <v>3.4322210763257033</v>
      </c>
      <c r="J34" s="198">
        <v>2.5711393806644636E-2</v>
      </c>
    </row>
    <row r="35" spans="1:10">
      <c r="A35" s="196">
        <v>1</v>
      </c>
      <c r="B35">
        <v>26</v>
      </c>
      <c r="C35" s="196">
        <v>19</v>
      </c>
      <c r="D35" s="196">
        <v>55</v>
      </c>
      <c r="E35" s="197">
        <v>78.099420835241872</v>
      </c>
      <c r="F35" s="197">
        <v>-0.84844885552931104</v>
      </c>
      <c r="G35" s="198">
        <v>0.72225305840431242</v>
      </c>
      <c r="H35" s="197">
        <v>77.202444337512489</v>
      </c>
      <c r="I35" s="197">
        <v>-1.1485059532280557</v>
      </c>
      <c r="J35" s="198">
        <v>0.72571291016438966</v>
      </c>
    </row>
    <row r="36" spans="1:10">
      <c r="A36" s="196">
        <v>1</v>
      </c>
      <c r="B36">
        <v>26</v>
      </c>
      <c r="C36" s="196">
        <v>19</v>
      </c>
      <c r="D36" s="196">
        <v>56</v>
      </c>
      <c r="E36" s="197">
        <v>5.245483901439278</v>
      </c>
      <c r="F36" s="197">
        <v>4.5566528390296977E-2</v>
      </c>
      <c r="G36" s="198">
        <v>0.79651987834459681</v>
      </c>
      <c r="H36" s="197">
        <v>5.3714767925820421</v>
      </c>
      <c r="I36" s="197">
        <v>0.12599289114276413</v>
      </c>
      <c r="J36" s="198">
        <v>0.55877404527869401</v>
      </c>
    </row>
    <row r="37" spans="1:10">
      <c r="A37" s="196">
        <v>1</v>
      </c>
      <c r="B37">
        <v>25</v>
      </c>
      <c r="C37" s="196">
        <v>13</v>
      </c>
      <c r="D37" s="196">
        <v>51</v>
      </c>
      <c r="E37" s="197">
        <v>22.409672943720313</v>
      </c>
      <c r="F37" s="197">
        <v>0.10093565726977242</v>
      </c>
      <c r="G37" s="198">
        <v>3.5785285956289535E-5</v>
      </c>
      <c r="H37" s="197">
        <v>23.526798743720313</v>
      </c>
      <c r="I37" s="197">
        <v>1.1171258000000002</v>
      </c>
      <c r="J37" s="198">
        <v>7.3838305149075524E-4</v>
      </c>
    </row>
    <row r="38" spans="1:10">
      <c r="A38" s="196">
        <v>1</v>
      </c>
      <c r="B38">
        <v>25</v>
      </c>
      <c r="C38" s="196">
        <v>13</v>
      </c>
      <c r="D38" s="196">
        <v>52</v>
      </c>
      <c r="E38" s="197">
        <v>85.345511198304123</v>
      </c>
      <c r="F38" s="197">
        <v>-3.9425213796988134</v>
      </c>
      <c r="G38" s="198">
        <v>0.70607995986938477</v>
      </c>
      <c r="H38" s="197">
        <v>82.805704424296991</v>
      </c>
      <c r="I38" s="197">
        <v>-2.9759113728966695</v>
      </c>
      <c r="J38" s="198">
        <v>0.85643804403689117</v>
      </c>
    </row>
    <row r="39" spans="1:10">
      <c r="A39" s="196">
        <v>1</v>
      </c>
      <c r="B39">
        <v>25</v>
      </c>
      <c r="C39" s="196">
        <v>13</v>
      </c>
      <c r="D39" s="196">
        <v>54</v>
      </c>
      <c r="E39" s="197">
        <v>67.451956771007346</v>
      </c>
      <c r="F39" s="197">
        <v>-0.77975952793383996</v>
      </c>
      <c r="G39" s="198">
        <v>0.465075346356986</v>
      </c>
      <c r="H39" s="197">
        <v>56.497325574745489</v>
      </c>
      <c r="I39" s="197">
        <v>-10.954631196261857</v>
      </c>
      <c r="J39" s="198">
        <v>8.0225432138419993E-4</v>
      </c>
    </row>
    <row r="40" spans="1:10">
      <c r="A40" s="196">
        <v>1</v>
      </c>
      <c r="B40">
        <v>25</v>
      </c>
      <c r="C40" s="196">
        <v>13</v>
      </c>
      <c r="D40" s="196">
        <v>55</v>
      </c>
      <c r="E40" s="197">
        <v>94.16701712061284</v>
      </c>
      <c r="F40" s="197">
        <v>-0.77975952793383996</v>
      </c>
      <c r="G40" s="198">
        <v>0.465075346356986</v>
      </c>
      <c r="H40" s="197">
        <v>92.74818218114747</v>
      </c>
      <c r="I40" s="197">
        <v>-1.5067217618755708</v>
      </c>
      <c r="J40" s="198">
        <v>0.61360679187986245</v>
      </c>
    </row>
    <row r="41" spans="1:10">
      <c r="A41" s="196">
        <v>1</v>
      </c>
      <c r="B41">
        <v>25</v>
      </c>
      <c r="C41" s="196">
        <v>13</v>
      </c>
      <c r="D41" s="196">
        <v>56</v>
      </c>
      <c r="E41" s="197">
        <v>4.4635783913571752</v>
      </c>
      <c r="F41" s="197">
        <v>-0.78838453942220243</v>
      </c>
      <c r="G41" s="198">
        <v>1.1344776597507484E-4</v>
      </c>
      <c r="H41" s="197">
        <v>3.7671873859006437</v>
      </c>
      <c r="I41" s="197">
        <v>-0.69639100545653143</v>
      </c>
      <c r="J41" s="198">
        <v>2.1152692486330647E-2</v>
      </c>
    </row>
    <row r="42" spans="1:10">
      <c r="A42" s="196">
        <v>1</v>
      </c>
      <c r="B42">
        <v>25</v>
      </c>
      <c r="C42" s="196">
        <v>14</v>
      </c>
      <c r="D42" s="196">
        <v>51</v>
      </c>
      <c r="E42" s="197">
        <v>14.570574235431517</v>
      </c>
      <c r="F42" s="197">
        <v>0.51556767430259476</v>
      </c>
      <c r="G42" s="198">
        <v>5.2407417528063306E-2</v>
      </c>
      <c r="H42" s="197">
        <v>16.280261735431509</v>
      </c>
      <c r="I42" s="197">
        <v>1.709687499999994</v>
      </c>
      <c r="J42" s="198">
        <v>9.0371712140653884E-7</v>
      </c>
    </row>
    <row r="43" spans="1:10">
      <c r="A43" s="196">
        <v>1</v>
      </c>
      <c r="B43">
        <v>25</v>
      </c>
      <c r="C43" s="196">
        <v>14</v>
      </c>
      <c r="D43" s="196">
        <v>52</v>
      </c>
      <c r="E43" s="197">
        <v>82.111374301049764</v>
      </c>
      <c r="F43" s="197">
        <v>10.23466230980776</v>
      </c>
      <c r="G43" s="198">
        <v>0.24461039900779724</v>
      </c>
      <c r="H43" s="197">
        <v>83.67542621210238</v>
      </c>
      <c r="I43" s="197">
        <v>1.9047932449872711</v>
      </c>
      <c r="J43" s="198">
        <v>0.85700340594156788</v>
      </c>
    </row>
    <row r="44" spans="1:10">
      <c r="A44" s="196">
        <v>1</v>
      </c>
      <c r="B44">
        <v>25</v>
      </c>
      <c r="C44" s="196">
        <v>14</v>
      </c>
      <c r="D44" s="196">
        <v>54</v>
      </c>
      <c r="E44" s="197">
        <v>92.701685876066705</v>
      </c>
      <c r="F44" s="197">
        <v>3.5747353044806736</v>
      </c>
      <c r="G44" s="198">
        <v>0.13350572614496947</v>
      </c>
      <c r="H44" s="197">
        <v>79.887537413525848</v>
      </c>
      <c r="I44" s="197">
        <v>-12.814148462540857</v>
      </c>
      <c r="J44" s="198">
        <v>3.7847862493642519E-6</v>
      </c>
    </row>
    <row r="45" spans="1:10">
      <c r="A45" s="196">
        <v>1</v>
      </c>
      <c r="B45">
        <v>25</v>
      </c>
      <c r="C45" s="196">
        <v>14</v>
      </c>
      <c r="D45" s="196">
        <v>55</v>
      </c>
      <c r="E45" s="197">
        <v>84.806950379346532</v>
      </c>
      <c r="F45" s="197">
        <v>3.5747353044806736</v>
      </c>
      <c r="G45" s="198">
        <v>0.13350572614496947</v>
      </c>
      <c r="H45" s="197">
        <v>86.026557007134386</v>
      </c>
      <c r="I45" s="197">
        <v>1.43809749358098</v>
      </c>
      <c r="J45" s="198">
        <v>0.66091349097865626</v>
      </c>
    </row>
    <row r="46" spans="1:10">
      <c r="A46" s="196">
        <v>1</v>
      </c>
      <c r="B46">
        <v>25</v>
      </c>
      <c r="C46" s="196">
        <v>14</v>
      </c>
      <c r="D46" s="196">
        <v>56</v>
      </c>
      <c r="E46" s="197">
        <v>5.5177814991971319</v>
      </c>
      <c r="F46" s="197">
        <v>5.1008189938952904E-2</v>
      </c>
      <c r="G46" s="198">
        <v>0.80166503237875242</v>
      </c>
      <c r="H46" s="197">
        <v>4.8837623207265377</v>
      </c>
      <c r="I46" s="197">
        <v>-0.63401917847059419</v>
      </c>
      <c r="J46" s="198">
        <v>1.7151279235676425E-2</v>
      </c>
    </row>
    <row r="47" spans="1:10">
      <c r="A47" s="196">
        <v>1</v>
      </c>
      <c r="B47">
        <v>25</v>
      </c>
      <c r="C47" s="196">
        <v>15</v>
      </c>
      <c r="D47" s="196">
        <v>51</v>
      </c>
      <c r="E47" s="197">
        <v>6.5186546867852577</v>
      </c>
      <c r="F47" s="197">
        <v>1.1942613844299832</v>
      </c>
      <c r="G47" s="198">
        <v>1.24906125716085E-2</v>
      </c>
      <c r="H47" s="197">
        <v>7.5867736201185956</v>
      </c>
      <c r="I47" s="197">
        <v>1.0681189333333378</v>
      </c>
      <c r="J47" s="198">
        <v>5.1509798039972412E-3</v>
      </c>
    </row>
    <row r="48" spans="1:10">
      <c r="A48" s="196">
        <v>1</v>
      </c>
      <c r="B48">
        <v>25</v>
      </c>
      <c r="C48" s="196">
        <v>15</v>
      </c>
      <c r="D48" s="196">
        <v>52</v>
      </c>
      <c r="E48" s="197">
        <v>50.60690250473349</v>
      </c>
      <c r="F48" s="197">
        <v>2.3466149930339819</v>
      </c>
      <c r="G48" s="198">
        <v>0.6864965558052063</v>
      </c>
      <c r="H48" s="197">
        <v>60.192369663249849</v>
      </c>
      <c r="I48" s="197">
        <v>18.941027180274055</v>
      </c>
      <c r="J48" s="198">
        <v>0.15707044286005634</v>
      </c>
    </row>
    <row r="49" spans="1:10">
      <c r="A49" s="196">
        <v>1</v>
      </c>
      <c r="B49">
        <v>25</v>
      </c>
      <c r="C49" s="196">
        <v>15</v>
      </c>
      <c r="D49" s="196">
        <v>54</v>
      </c>
      <c r="E49" s="197">
        <v>88.636153893767101</v>
      </c>
      <c r="F49" s="197">
        <v>-7.3348646336053323</v>
      </c>
      <c r="G49" s="198">
        <v>1.5072297081733268E-2</v>
      </c>
      <c r="H49" s="197">
        <v>77.230109697459724</v>
      </c>
      <c r="I49" s="197">
        <v>-11.406044196307377</v>
      </c>
      <c r="J49" s="198">
        <v>4.5845498157518075E-3</v>
      </c>
    </row>
    <row r="50" spans="1:10">
      <c r="A50" s="196">
        <v>1</v>
      </c>
      <c r="B50">
        <v>25</v>
      </c>
      <c r="C50" s="196">
        <v>15</v>
      </c>
      <c r="D50" s="196">
        <v>55</v>
      </c>
      <c r="E50" s="197">
        <v>76.776768675590077</v>
      </c>
      <c r="F50" s="197">
        <v>-7.3348646336053323</v>
      </c>
      <c r="G50" s="198">
        <v>1.5072297081733268E-2</v>
      </c>
      <c r="H50" s="197">
        <v>78.490048059764547</v>
      </c>
      <c r="I50" s="197">
        <v>2.2315075428788989</v>
      </c>
      <c r="J50" s="198">
        <v>0.56250973338492438</v>
      </c>
    </row>
    <row r="51" spans="1:10">
      <c r="A51" s="196">
        <v>1</v>
      </c>
      <c r="B51">
        <v>25</v>
      </c>
      <c r="C51" s="196">
        <v>15</v>
      </c>
      <c r="D51" s="196">
        <v>56</v>
      </c>
      <c r="E51" s="197">
        <v>3.4383273884758565</v>
      </c>
      <c r="F51" s="197">
        <v>-0.10842911764608662</v>
      </c>
      <c r="G51" s="198">
        <v>0.64757854620265076</v>
      </c>
      <c r="H51" s="197">
        <v>3.0379392592437799</v>
      </c>
      <c r="I51" s="197">
        <v>-0.40038812923207656</v>
      </c>
      <c r="J51" s="198">
        <v>3.0645433069782277E-2</v>
      </c>
    </row>
    <row r="52" spans="1:10">
      <c r="A52" s="196">
        <v>1</v>
      </c>
      <c r="B52">
        <v>25</v>
      </c>
      <c r="C52" s="196">
        <v>16</v>
      </c>
      <c r="D52" s="196">
        <v>51</v>
      </c>
      <c r="E52" s="197">
        <v>1.6084969619280527</v>
      </c>
      <c r="F52" s="197">
        <v>0.2734378987053192</v>
      </c>
      <c r="G52" s="198">
        <v>0.36080097052631777</v>
      </c>
      <c r="H52" s="197">
        <v>-1.4137662549199208</v>
      </c>
      <c r="I52" s="197">
        <v>1.2</v>
      </c>
      <c r="J52" s="198">
        <v>0.01</v>
      </c>
    </row>
    <row r="53" spans="1:10">
      <c r="A53" s="196">
        <v>1</v>
      </c>
      <c r="B53">
        <v>25</v>
      </c>
      <c r="C53" s="196">
        <v>16</v>
      </c>
      <c r="D53" s="196">
        <v>52</v>
      </c>
      <c r="E53" s="197">
        <v>136.20710797696677</v>
      </c>
      <c r="F53" s="197">
        <v>4.4382533713052919</v>
      </c>
      <c r="G53" s="198">
        <v>0.59507447481155396</v>
      </c>
      <c r="H53" s="197">
        <v>155.6736649200966</v>
      </c>
      <c r="I53" s="197">
        <v>14.291880381471502</v>
      </c>
      <c r="J53" s="198">
        <v>6.9983925127166002E-2</v>
      </c>
    </row>
    <row r="54" spans="1:10">
      <c r="A54" s="196">
        <v>1</v>
      </c>
      <c r="B54">
        <v>25</v>
      </c>
      <c r="C54" s="196">
        <v>16</v>
      </c>
      <c r="D54" s="196">
        <v>54</v>
      </c>
      <c r="E54" s="197">
        <v>88.6564846366892</v>
      </c>
      <c r="F54" s="197">
        <v>-0.41370640837405914</v>
      </c>
      <c r="G54" s="198">
        <v>0.44939570913256455</v>
      </c>
      <c r="H54" s="197">
        <v>75.765389798444275</v>
      </c>
      <c r="I54" s="197">
        <v>-12.891094838244925</v>
      </c>
      <c r="J54" s="198">
        <v>5.0242089506497706E-4</v>
      </c>
    </row>
    <row r="55" spans="1:10">
      <c r="A55" s="196">
        <v>1</v>
      </c>
      <c r="B55">
        <v>25</v>
      </c>
      <c r="C55" s="196">
        <v>16</v>
      </c>
      <c r="D55" s="196">
        <v>55</v>
      </c>
      <c r="E55" s="197">
        <v>98.026990756413383</v>
      </c>
      <c r="F55" s="197">
        <v>-0.41370640837405914</v>
      </c>
      <c r="G55" s="198">
        <v>0.44939570913256455</v>
      </c>
      <c r="H55" s="197">
        <v>97.395479996002067</v>
      </c>
      <c r="I55" s="197">
        <v>-0.64422130633445351</v>
      </c>
      <c r="J55" s="198">
        <v>0.31508682379692354</v>
      </c>
    </row>
    <row r="56" spans="1:10">
      <c r="A56" s="196">
        <v>1</v>
      </c>
      <c r="B56">
        <v>25</v>
      </c>
      <c r="C56" s="196">
        <v>16</v>
      </c>
      <c r="D56" s="196">
        <v>56</v>
      </c>
      <c r="E56" s="197">
        <v>25.196726768579442</v>
      </c>
      <c r="F56" s="197">
        <v>-0.65209851135970609</v>
      </c>
      <c r="G56" s="198">
        <v>0.23696646234051355</v>
      </c>
      <c r="H56" s="197">
        <v>21.381690590149297</v>
      </c>
      <c r="I56" s="197">
        <v>-0.65209851135970609</v>
      </c>
      <c r="J56" s="198">
        <v>0.23696646234051355</v>
      </c>
    </row>
    <row r="57" spans="1:10">
      <c r="A57" s="196">
        <v>1</v>
      </c>
      <c r="B57">
        <v>25</v>
      </c>
      <c r="C57" s="196">
        <v>17</v>
      </c>
      <c r="D57" s="196">
        <v>51</v>
      </c>
      <c r="E57" s="197">
        <v>9.469691371124723</v>
      </c>
      <c r="F57" s="197">
        <v>0.50470473877327771</v>
      </c>
      <c r="G57" s="198">
        <v>2.1670277188531529E-2</v>
      </c>
      <c r="H57" s="197">
        <v>10.265917193346946</v>
      </c>
      <c r="I57" s="197">
        <v>0.79622582222222249</v>
      </c>
      <c r="J57" s="198">
        <v>7.1651873880229812E-5</v>
      </c>
    </row>
    <row r="58" spans="1:10">
      <c r="A58" s="196">
        <v>1</v>
      </c>
      <c r="B58">
        <v>25</v>
      </c>
      <c r="C58" s="196">
        <v>17</v>
      </c>
      <c r="D58" s="196">
        <v>52</v>
      </c>
      <c r="E58" s="197">
        <v>109.12433860439263</v>
      </c>
      <c r="F58" s="197">
        <v>0.53742076386251858</v>
      </c>
      <c r="G58" s="198">
        <v>0.93371528387069702</v>
      </c>
      <c r="H58" s="197">
        <v>107.29695008296763</v>
      </c>
      <c r="I58" s="197">
        <v>-1.6745929870418859</v>
      </c>
      <c r="J58" s="198">
        <v>0.81666507084028794</v>
      </c>
    </row>
    <row r="59" spans="1:10">
      <c r="A59" s="196">
        <v>1</v>
      </c>
      <c r="B59">
        <v>25</v>
      </c>
      <c r="C59" s="196">
        <v>17</v>
      </c>
      <c r="D59" s="196">
        <v>54</v>
      </c>
      <c r="E59" s="197">
        <v>93.969828431314298</v>
      </c>
      <c r="F59" s="197">
        <v>0.33910116219541164</v>
      </c>
      <c r="G59" s="198">
        <v>0.52074304716681619</v>
      </c>
      <c r="H59" s="197">
        <v>87.213469764890689</v>
      </c>
      <c r="I59" s="197">
        <v>-6.7563586664236084</v>
      </c>
      <c r="J59" s="198">
        <v>8.9405475291759145E-5</v>
      </c>
    </row>
    <row r="60" spans="1:10">
      <c r="A60" s="196">
        <v>1</v>
      </c>
      <c r="B60">
        <v>25</v>
      </c>
      <c r="C60" s="196">
        <v>17</v>
      </c>
      <c r="D60" s="196">
        <v>55</v>
      </c>
      <c r="E60" s="197">
        <v>96.792956255116209</v>
      </c>
      <c r="F60" s="197">
        <v>0.33910116219541164</v>
      </c>
      <c r="G60" s="198">
        <v>0.52074304716681619</v>
      </c>
      <c r="H60" s="197">
        <v>96.785570008395737</v>
      </c>
      <c r="I60" s="197">
        <v>-7.6309754410200156E-3</v>
      </c>
      <c r="J60" s="198">
        <v>0.99085477941456512</v>
      </c>
    </row>
    <row r="61" spans="1:10">
      <c r="A61" s="196">
        <v>1</v>
      </c>
      <c r="B61">
        <v>25</v>
      </c>
      <c r="C61" s="196">
        <v>17</v>
      </c>
      <c r="D61" s="196">
        <v>56</v>
      </c>
      <c r="E61" s="197">
        <v>32.751624340309959</v>
      </c>
      <c r="F61" s="197">
        <v>-0.61715834584915552</v>
      </c>
      <c r="G61" s="198">
        <v>0.13835729343922376</v>
      </c>
      <c r="H61" s="197">
        <v>30.353865704500215</v>
      </c>
      <c r="I61" s="197">
        <v>-2.397758635809744</v>
      </c>
      <c r="J61" s="198">
        <v>3.5614372621963175E-4</v>
      </c>
    </row>
    <row r="62" spans="1:10">
      <c r="A62" s="196">
        <v>1</v>
      </c>
      <c r="B62">
        <v>25</v>
      </c>
      <c r="C62" s="196">
        <v>18</v>
      </c>
      <c r="D62" s="196">
        <v>51</v>
      </c>
      <c r="E62" s="197">
        <v>19.620417492556388</v>
      </c>
      <c r="F62" s="197">
        <v>0.70269411885163802</v>
      </c>
      <c r="G62" s="198">
        <v>7.9850436479590725E-3</v>
      </c>
      <c r="H62" s="197">
        <v>20.640874792556385</v>
      </c>
      <c r="I62" s="197">
        <v>1.0204572999999968</v>
      </c>
      <c r="J62" s="198">
        <v>1.7584047202086987E-4</v>
      </c>
    </row>
    <row r="63" spans="1:10">
      <c r="A63" s="196">
        <v>1</v>
      </c>
      <c r="B63">
        <v>25</v>
      </c>
      <c r="C63" s="196">
        <v>18</v>
      </c>
      <c r="D63" s="196">
        <v>52</v>
      </c>
      <c r="E63" s="197">
        <v>50.772018005097287</v>
      </c>
      <c r="F63" s="197">
        <v>-1.3352494743771237</v>
      </c>
      <c r="G63" s="198">
        <v>0.78735637664794922</v>
      </c>
      <c r="H63" s="197">
        <v>57.704630083680193</v>
      </c>
      <c r="I63" s="197">
        <v>13.654395375592326</v>
      </c>
      <c r="J63" s="198">
        <v>0.40140393468320112</v>
      </c>
    </row>
    <row r="64" spans="1:10">
      <c r="A64" s="196">
        <v>1</v>
      </c>
      <c r="B64">
        <v>25</v>
      </c>
      <c r="C64" s="196">
        <v>18</v>
      </c>
      <c r="D64" s="196">
        <v>54</v>
      </c>
      <c r="E64" s="197">
        <v>85.362316320964354</v>
      </c>
      <c r="F64" s="197">
        <v>0.34634141936301133</v>
      </c>
      <c r="G64" s="198">
        <v>0.83967010053645696</v>
      </c>
      <c r="H64" s="197">
        <v>81.103028636121564</v>
      </c>
      <c r="I64" s="197">
        <v>-4.2592876848427892</v>
      </c>
      <c r="J64" s="198">
        <v>7.8842952012521535E-4</v>
      </c>
    </row>
    <row r="65" spans="1:10">
      <c r="A65" s="196">
        <v>1</v>
      </c>
      <c r="B65">
        <v>25</v>
      </c>
      <c r="C65" s="196">
        <v>18</v>
      </c>
      <c r="D65" s="196">
        <v>55</v>
      </c>
      <c r="E65" s="197">
        <v>91.008680084465126</v>
      </c>
      <c r="F65" s="197">
        <v>0.34634141936301133</v>
      </c>
      <c r="G65" s="198">
        <v>0.83967010053645696</v>
      </c>
      <c r="H65" s="197">
        <v>88.672208826542146</v>
      </c>
      <c r="I65" s="197">
        <v>-2.5673059490089396</v>
      </c>
      <c r="J65" s="198">
        <v>0.1027527294799585</v>
      </c>
    </row>
    <row r="66" spans="1:10">
      <c r="A66" s="196">
        <v>1</v>
      </c>
      <c r="B66">
        <v>25</v>
      </c>
      <c r="C66" s="196">
        <v>18</v>
      </c>
      <c r="D66" s="196">
        <v>56</v>
      </c>
      <c r="E66" s="197">
        <v>6.9846832349458907</v>
      </c>
      <c r="F66" s="197">
        <v>-0.51628533404781884</v>
      </c>
      <c r="G66" s="198">
        <v>2.5300991966416102E-2</v>
      </c>
      <c r="H66" s="197">
        <v>6.3958770448214501</v>
      </c>
      <c r="I66" s="197">
        <v>-0.58880619012444058</v>
      </c>
      <c r="J66" s="198">
        <v>7.3563336389883071E-5</v>
      </c>
    </row>
    <row r="67" spans="1:10">
      <c r="A67" s="196">
        <v>1</v>
      </c>
      <c r="B67">
        <v>25</v>
      </c>
      <c r="C67" s="196">
        <v>19</v>
      </c>
      <c r="D67" s="196">
        <v>51</v>
      </c>
      <c r="E67" s="197">
        <v>22.568309746224184</v>
      </c>
      <c r="F67" s="197">
        <v>0.93484661813213477</v>
      </c>
      <c r="G67" s="198">
        <v>5.1095780502098068E-3</v>
      </c>
      <c r="H67" s="197">
        <v>23.516547879557514</v>
      </c>
      <c r="I67" s="197">
        <v>0.94823813333333007</v>
      </c>
      <c r="J67" s="198">
        <v>4.2162744836113496E-3</v>
      </c>
    </row>
    <row r="68" spans="1:10">
      <c r="A68" s="196">
        <v>1</v>
      </c>
      <c r="B68">
        <v>25</v>
      </c>
      <c r="C68" s="196">
        <v>19</v>
      </c>
      <c r="D68" s="196">
        <v>52</v>
      </c>
      <c r="E68" s="197">
        <v>39.187429510407405</v>
      </c>
      <c r="F68" s="197">
        <v>-4.0154651445605722</v>
      </c>
      <c r="G68" s="198">
        <v>0.46724864840507507</v>
      </c>
      <c r="H68" s="197">
        <v>41.776580079922347</v>
      </c>
      <c r="I68" s="197">
        <v>6.6070946777137225</v>
      </c>
      <c r="J68" s="198">
        <v>0.76136961916523038</v>
      </c>
    </row>
    <row r="69" spans="1:10">
      <c r="A69" s="196">
        <v>1</v>
      </c>
      <c r="B69">
        <v>25</v>
      </c>
      <c r="C69" s="196">
        <v>19</v>
      </c>
      <c r="D69" s="196">
        <v>54</v>
      </c>
      <c r="E69" s="197">
        <v>95.094927898450422</v>
      </c>
      <c r="F69" s="197">
        <v>1.5381670083267951</v>
      </c>
      <c r="G69" s="198">
        <v>0.43495557563745435</v>
      </c>
      <c r="H69" s="197">
        <v>96.444282703769062</v>
      </c>
      <c r="I69" s="197">
        <v>1.3493548053186402</v>
      </c>
      <c r="J69" s="198">
        <v>5.9402971340873599E-2</v>
      </c>
    </row>
    <row r="70" spans="1:10">
      <c r="A70" s="196">
        <v>1</v>
      </c>
      <c r="B70">
        <v>25</v>
      </c>
      <c r="C70" s="196">
        <v>19</v>
      </c>
      <c r="D70" s="196">
        <v>55</v>
      </c>
      <c r="E70" s="197">
        <v>90.869223142059838</v>
      </c>
      <c r="F70" s="197">
        <v>1.5381670083267951</v>
      </c>
      <c r="G70" s="198">
        <v>0.43495557563745435</v>
      </c>
      <c r="H70" s="197">
        <v>90.586302380767592</v>
      </c>
      <c r="I70" s="197">
        <v>-0.3113493782707365</v>
      </c>
      <c r="J70" s="198">
        <v>0.85597131655035874</v>
      </c>
    </row>
    <row r="71" spans="1:10">
      <c r="A71" s="196">
        <v>1</v>
      </c>
      <c r="B71">
        <v>25</v>
      </c>
      <c r="C71" s="196">
        <v>19</v>
      </c>
      <c r="D71" s="196">
        <v>56</v>
      </c>
      <c r="E71" s="197">
        <v>6.0443881374993191</v>
      </c>
      <c r="F71" s="197">
        <v>-7.9705768709532818E-2</v>
      </c>
      <c r="G71" s="198">
        <v>0.60976184471452755</v>
      </c>
      <c r="H71" s="197">
        <v>6.1087257407899873</v>
      </c>
      <c r="I71" s="197">
        <v>6.4337603290668177E-2</v>
      </c>
      <c r="J71" s="198">
        <v>0.60230558816300106</v>
      </c>
    </row>
    <row r="72" spans="1:10">
      <c r="A72" s="196">
        <v>1</v>
      </c>
      <c r="B72">
        <v>14</v>
      </c>
      <c r="C72" s="196">
        <v>13</v>
      </c>
      <c r="D72" s="196">
        <v>51</v>
      </c>
      <c r="E72" s="197">
        <v>19.320723295009664</v>
      </c>
      <c r="F72" s="197">
        <v>1.0234727829641901</v>
      </c>
      <c r="G72" s="198">
        <v>2.4416406846168166E-5</v>
      </c>
      <c r="H72" s="197">
        <v>20.25891489500966</v>
      </c>
      <c r="I72" s="197">
        <v>0.93819159999999613</v>
      </c>
      <c r="J72" s="198">
        <v>2.6931696322697054E-3</v>
      </c>
    </row>
    <row r="73" spans="1:10">
      <c r="A73" s="196">
        <v>1</v>
      </c>
      <c r="B73">
        <v>14</v>
      </c>
      <c r="C73" s="196">
        <v>13</v>
      </c>
      <c r="D73" s="196">
        <v>52</v>
      </c>
      <c r="E73" s="197">
        <v>155.53777777777776</v>
      </c>
      <c r="F73" s="197">
        <v>5.212754912866143</v>
      </c>
      <c r="G73" s="198">
        <v>0.66646203101396329</v>
      </c>
      <c r="H73" s="197">
        <v>150.54875519793481</v>
      </c>
      <c r="I73" s="197">
        <v>-3.2075953836571762</v>
      </c>
      <c r="J73" s="198">
        <v>0.70285721351928609</v>
      </c>
    </row>
    <row r="74" spans="1:10">
      <c r="A74" s="196">
        <v>1</v>
      </c>
      <c r="B74">
        <v>14</v>
      </c>
      <c r="C74" s="196">
        <v>13</v>
      </c>
      <c r="D74" s="196">
        <v>54</v>
      </c>
      <c r="E74" s="197">
        <v>93.892053297090385</v>
      </c>
      <c r="F74" s="197">
        <v>-0.60094952411915858</v>
      </c>
      <c r="G74" s="198">
        <v>0.528694772634555</v>
      </c>
      <c r="H74" s="197">
        <v>93.896803495925283</v>
      </c>
      <c r="I74" s="197">
        <v>4.7501988348983559E-3</v>
      </c>
      <c r="J74" s="198">
        <v>0.9960157643118448</v>
      </c>
    </row>
    <row r="75" spans="1:10">
      <c r="A75" s="196">
        <v>1</v>
      </c>
      <c r="B75">
        <v>14</v>
      </c>
      <c r="C75" s="196">
        <v>13</v>
      </c>
      <c r="D75" s="196">
        <v>55</v>
      </c>
      <c r="E75" s="197">
        <v>97.074492325820373</v>
      </c>
      <c r="F75" s="197">
        <v>-0.60094952411915858</v>
      </c>
      <c r="G75" s="198">
        <v>0.528694772634555</v>
      </c>
      <c r="H75" s="197">
        <v>98.532108272804933</v>
      </c>
      <c r="I75" s="197">
        <v>1.5015437238571638</v>
      </c>
      <c r="J75" s="198">
        <v>7.5814588476932732E-2</v>
      </c>
    </row>
    <row r="76" spans="1:10">
      <c r="A76" s="196">
        <v>1</v>
      </c>
      <c r="B76">
        <v>14</v>
      </c>
      <c r="C76" s="196">
        <v>13</v>
      </c>
      <c r="D76" s="196">
        <v>56</v>
      </c>
      <c r="E76" s="197">
        <v>6.3782316300818831</v>
      </c>
      <c r="F76" s="197">
        <v>-0.42951612040502163</v>
      </c>
      <c r="G76" s="198">
        <v>3.8084105736471853E-4</v>
      </c>
      <c r="H76" s="197">
        <v>6.47632231646707</v>
      </c>
      <c r="I76" s="197">
        <v>9.809068638518692E-2</v>
      </c>
      <c r="J76" s="198">
        <v>0.26755220666332946</v>
      </c>
    </row>
    <row r="77" spans="1:10">
      <c r="A77" s="196">
        <v>1</v>
      </c>
      <c r="B77">
        <v>14</v>
      </c>
      <c r="C77" s="196">
        <v>14</v>
      </c>
      <c r="D77" s="196">
        <v>51</v>
      </c>
      <c r="E77" s="197">
        <v>10.970535558415396</v>
      </c>
      <c r="F77" s="197">
        <v>9.9556065179131611E-2</v>
      </c>
      <c r="G77" s="198">
        <v>0.64659451840196835</v>
      </c>
      <c r="H77" s="197">
        <v>12.595080708415395</v>
      </c>
      <c r="I77" s="197">
        <v>1.6245451499999994</v>
      </c>
      <c r="J77" s="198">
        <v>3.9111298187626465E-6</v>
      </c>
    </row>
    <row r="78" spans="1:10">
      <c r="A78" s="196">
        <v>1</v>
      </c>
      <c r="B78">
        <v>14</v>
      </c>
      <c r="C78" s="196">
        <v>14</v>
      </c>
      <c r="D78" s="196">
        <v>52</v>
      </c>
      <c r="E78" s="197">
        <v>91.63666666666667</v>
      </c>
      <c r="F78" s="197">
        <v>9.7558027437894026</v>
      </c>
      <c r="G78" s="198">
        <v>0.25744810440746657</v>
      </c>
      <c r="H78" s="197">
        <v>83.120375017703793</v>
      </c>
      <c r="I78" s="197">
        <v>-9.293541503360597</v>
      </c>
      <c r="J78" s="198">
        <v>0.28082766744256171</v>
      </c>
    </row>
    <row r="79" spans="1:10">
      <c r="A79" s="196">
        <v>1</v>
      </c>
      <c r="B79">
        <v>14</v>
      </c>
      <c r="C79" s="196">
        <v>14</v>
      </c>
      <c r="D79" s="196">
        <v>54</v>
      </c>
      <c r="E79" s="197">
        <v>95.119043071949335</v>
      </c>
      <c r="F79" s="197">
        <v>3.9250302597395974</v>
      </c>
      <c r="G79" s="198">
        <v>8.3708045566761452E-2</v>
      </c>
      <c r="H79" s="197">
        <v>100.34493699416913</v>
      </c>
      <c r="I79" s="197">
        <v>5.2258939222197967</v>
      </c>
      <c r="J79" s="198">
        <v>6.5150472588371293E-5</v>
      </c>
    </row>
    <row r="80" spans="1:10">
      <c r="A80" s="196">
        <v>1</v>
      </c>
      <c r="B80">
        <v>14</v>
      </c>
      <c r="C80" s="196">
        <v>14</v>
      </c>
      <c r="D80" s="196">
        <v>55</v>
      </c>
      <c r="E80" s="197">
        <v>87.716102529614105</v>
      </c>
      <c r="F80" s="197">
        <v>3.9250302597395974</v>
      </c>
      <c r="G80" s="198">
        <v>8.3708045566761452E-2</v>
      </c>
      <c r="H80" s="197">
        <v>86.889218306182556</v>
      </c>
      <c r="I80" s="197">
        <v>-0.9426823577260286</v>
      </c>
      <c r="J80" s="198">
        <v>0.64865140632412854</v>
      </c>
    </row>
    <row r="81" spans="1:10">
      <c r="A81" s="196">
        <v>1</v>
      </c>
      <c r="B81">
        <v>14</v>
      </c>
      <c r="C81" s="196">
        <v>14</v>
      </c>
      <c r="D81" s="196">
        <v>56</v>
      </c>
      <c r="E81" s="197">
        <v>5.8369834635095064</v>
      </c>
      <c r="F81" s="197">
        <v>0.27504840673915548</v>
      </c>
      <c r="G81" s="198">
        <v>7.5259754884914182E-2</v>
      </c>
      <c r="H81" s="197">
        <v>6.1090061050410842</v>
      </c>
      <c r="I81" s="197">
        <v>0.27202264153157785</v>
      </c>
      <c r="J81" s="198">
        <v>8.9684080594915672E-2</v>
      </c>
    </row>
    <row r="82" spans="1:10">
      <c r="A82" s="196">
        <v>1</v>
      </c>
      <c r="B82">
        <v>14</v>
      </c>
      <c r="C82" s="196">
        <v>15</v>
      </c>
      <c r="D82" s="196">
        <v>51</v>
      </c>
      <c r="E82" s="197">
        <v>2.1689102711306387</v>
      </c>
      <c r="F82" s="197">
        <v>1.2660593516592016</v>
      </c>
      <c r="G82" s="198">
        <v>2.6192860964637445E-2</v>
      </c>
      <c r="H82" s="197">
        <v>3.0131410711306374</v>
      </c>
      <c r="I82" s="197">
        <v>0.84423079999999873</v>
      </c>
      <c r="J82" s="198">
        <v>7.7738765330893453E-2</v>
      </c>
    </row>
    <row r="83" spans="1:10">
      <c r="A83" s="196">
        <v>1</v>
      </c>
      <c r="B83">
        <v>14</v>
      </c>
      <c r="C83" s="196">
        <v>15</v>
      </c>
      <c r="D83" s="196">
        <v>52</v>
      </c>
      <c r="E83" s="197">
        <v>39.739444444444437</v>
      </c>
      <c r="F83" s="197">
        <v>-0.32410085279940987</v>
      </c>
      <c r="G83" s="198">
        <v>0.93436357629355349</v>
      </c>
      <c r="H83" s="197">
        <v>37.121808541665004</v>
      </c>
      <c r="I83" s="197">
        <v>-6.5869967217052459</v>
      </c>
      <c r="J83" s="198">
        <v>0.5236626936782377</v>
      </c>
    </row>
    <row r="84" spans="1:10">
      <c r="A84" s="196">
        <v>1</v>
      </c>
      <c r="B84">
        <v>14</v>
      </c>
      <c r="C84" s="196">
        <v>15</v>
      </c>
      <c r="D84" s="196">
        <v>54</v>
      </c>
      <c r="E84" s="197">
        <v>86.954667380512817</v>
      </c>
      <c r="F84" s="197">
        <v>3.9115767628492168</v>
      </c>
      <c r="G84" s="198">
        <v>0.20860647519012743</v>
      </c>
      <c r="H84" s="197">
        <v>88.438569367813841</v>
      </c>
      <c r="I84" s="197">
        <v>1.4839019873010244</v>
      </c>
      <c r="J84" s="198">
        <v>0.36207209371108584</v>
      </c>
    </row>
    <row r="85" spans="1:10">
      <c r="A85" s="196">
        <v>1</v>
      </c>
      <c r="B85">
        <v>14</v>
      </c>
      <c r="C85" s="196">
        <v>15</v>
      </c>
      <c r="D85" s="196">
        <v>55</v>
      </c>
      <c r="E85" s="197">
        <v>72.025607400311756</v>
      </c>
      <c r="F85" s="197">
        <v>3.9115767628492168</v>
      </c>
      <c r="G85" s="198">
        <v>0.20860647519012743</v>
      </c>
      <c r="H85" s="197">
        <v>70.576577693743459</v>
      </c>
      <c r="I85" s="197">
        <v>-2.0118257365255086</v>
      </c>
      <c r="J85" s="198">
        <v>0.54183665126633529</v>
      </c>
    </row>
    <row r="86" spans="1:10">
      <c r="A86" s="196">
        <v>1</v>
      </c>
      <c r="B86">
        <v>14</v>
      </c>
      <c r="C86" s="196">
        <v>15</v>
      </c>
      <c r="D86" s="196">
        <v>56</v>
      </c>
      <c r="E86" s="197">
        <v>3.121110109887443</v>
      </c>
      <c r="F86" s="197">
        <v>0.13110116306304098</v>
      </c>
      <c r="G86" s="198">
        <v>0.41412713352934838</v>
      </c>
      <c r="H86" s="197">
        <v>3.1294220200376026</v>
      </c>
      <c r="I86" s="197">
        <v>8.3119101501596404E-3</v>
      </c>
      <c r="J86" s="198">
        <v>0.9568925444562888</v>
      </c>
    </row>
    <row r="87" spans="1:10">
      <c r="A87" s="196">
        <v>1</v>
      </c>
      <c r="B87">
        <v>14</v>
      </c>
      <c r="C87" s="196">
        <v>16</v>
      </c>
      <c r="D87" s="196">
        <v>51</v>
      </c>
      <c r="E87" s="197">
        <v>-2.8795109745635821</v>
      </c>
      <c r="F87" s="197">
        <v>0.32754948153977392</v>
      </c>
      <c r="G87" s="198">
        <v>0.51357130455592026</v>
      </c>
      <c r="H87" s="197">
        <v>-1.4137662549199208</v>
      </c>
      <c r="I87" s="197">
        <v>1.2</v>
      </c>
      <c r="J87" s="198">
        <v>0.01</v>
      </c>
    </row>
    <row r="88" spans="1:10">
      <c r="A88" s="196">
        <v>1</v>
      </c>
      <c r="B88">
        <v>14</v>
      </c>
      <c r="C88" s="196">
        <v>16</v>
      </c>
      <c r="D88" s="196">
        <v>52</v>
      </c>
      <c r="E88" s="197">
        <v>98.216111111111118</v>
      </c>
      <c r="F88" s="197">
        <v>1.5261772339636623</v>
      </c>
      <c r="G88" s="198">
        <v>0.78642861334206482</v>
      </c>
      <c r="H88" s="197">
        <v>106.58587467221382</v>
      </c>
      <c r="I88" s="197">
        <v>8.5217826957473974</v>
      </c>
      <c r="J88" s="198">
        <v>0.23688491292289149</v>
      </c>
    </row>
    <row r="89" spans="1:10">
      <c r="A89" s="196">
        <v>1</v>
      </c>
      <c r="B89">
        <v>14</v>
      </c>
      <c r="C89" s="196">
        <v>16</v>
      </c>
      <c r="D89" s="196">
        <v>54</v>
      </c>
      <c r="E89" s="197">
        <v>90.742179550340907</v>
      </c>
      <c r="F89" s="197">
        <v>0.11520699676958604</v>
      </c>
      <c r="G89" s="198">
        <v>0.88152028250867864</v>
      </c>
      <c r="H89" s="197">
        <v>90.861357598339055</v>
      </c>
      <c r="I89" s="197">
        <v>0.11917804799814746</v>
      </c>
      <c r="J89" s="198">
        <v>0.93517074697067393</v>
      </c>
    </row>
    <row r="90" spans="1:10">
      <c r="A90" s="196">
        <v>1</v>
      </c>
      <c r="B90">
        <v>14</v>
      </c>
      <c r="C90" s="196">
        <v>16</v>
      </c>
      <c r="D90" s="196">
        <v>55</v>
      </c>
      <c r="E90" s="197">
        <v>95.18569546491463</v>
      </c>
      <c r="F90" s="197">
        <v>0.11520699676958604</v>
      </c>
      <c r="G90" s="198">
        <v>0.88152028250867864</v>
      </c>
      <c r="H90" s="197">
        <v>95.063164535600308</v>
      </c>
      <c r="I90" s="197">
        <v>-0.12872830178509634</v>
      </c>
      <c r="J90" s="198">
        <v>0.79450243643159246</v>
      </c>
    </row>
    <row r="91" spans="1:10">
      <c r="A91" s="196">
        <v>1</v>
      </c>
      <c r="B91">
        <v>14</v>
      </c>
      <c r="C91" s="196">
        <v>16</v>
      </c>
      <c r="D91" s="196">
        <v>56</v>
      </c>
      <c r="E91" s="197">
        <v>25.017744208974378</v>
      </c>
      <c r="F91" s="197">
        <v>0.64749283800309165</v>
      </c>
      <c r="G91" s="198">
        <v>0.39513115745304717</v>
      </c>
      <c r="H91" s="197">
        <v>25.011335306082472</v>
      </c>
      <c r="I91" s="197">
        <v>0.64749283800309165</v>
      </c>
      <c r="J91" s="198">
        <v>0.39513115745304717</v>
      </c>
    </row>
    <row r="92" spans="1:10">
      <c r="A92" s="196">
        <v>1</v>
      </c>
      <c r="B92">
        <v>14</v>
      </c>
      <c r="C92" s="196">
        <v>17</v>
      </c>
      <c r="D92" s="196">
        <v>51</v>
      </c>
      <c r="E92" s="197">
        <v>8.4341439203650008</v>
      </c>
      <c r="F92" s="197">
        <v>0.49528782129273063</v>
      </c>
      <c r="G92" s="198">
        <v>6.1376715586902199E-2</v>
      </c>
      <c r="H92" s="197">
        <v>9.1993229648094452</v>
      </c>
      <c r="I92" s="197">
        <v>0.7651790444444444</v>
      </c>
      <c r="J92" s="198">
        <v>1.3467391081385274E-3</v>
      </c>
    </row>
    <row r="93" spans="1:10">
      <c r="A93" s="196">
        <v>1</v>
      </c>
      <c r="B93">
        <v>14</v>
      </c>
      <c r="C93" s="196">
        <v>17</v>
      </c>
      <c r="D93" s="196">
        <v>52</v>
      </c>
      <c r="E93" s="197">
        <v>134.38833333333332</v>
      </c>
      <c r="F93" s="197">
        <v>-2.9137931034482829</v>
      </c>
      <c r="G93" s="198">
        <v>0.72965593022046682</v>
      </c>
      <c r="H93" s="197">
        <v>133.69301224386189</v>
      </c>
      <c r="I93" s="197">
        <v>-0.51739691402138122</v>
      </c>
      <c r="J93" s="198">
        <v>0.93277116197822518</v>
      </c>
    </row>
    <row r="94" spans="1:10">
      <c r="A94" s="196">
        <v>1</v>
      </c>
      <c r="B94">
        <v>14</v>
      </c>
      <c r="C94" s="196">
        <v>17</v>
      </c>
      <c r="D94" s="196">
        <v>54</v>
      </c>
      <c r="E94" s="197">
        <v>97.187064940790023</v>
      </c>
      <c r="F94" s="197">
        <v>-0.6132501235474096</v>
      </c>
      <c r="G94" s="198">
        <v>0.28835046060631098</v>
      </c>
      <c r="H94" s="197">
        <v>93.717193255473916</v>
      </c>
      <c r="I94" s="197">
        <v>-3.4698716853161073</v>
      </c>
      <c r="J94" s="198">
        <v>4.5885004761232811E-3</v>
      </c>
    </row>
    <row r="95" spans="1:10">
      <c r="A95" s="196">
        <v>1</v>
      </c>
      <c r="B95">
        <v>14</v>
      </c>
      <c r="C95" s="196">
        <v>17</v>
      </c>
      <c r="D95" s="196">
        <v>55</v>
      </c>
      <c r="E95" s="197">
        <v>98.087088513736944</v>
      </c>
      <c r="F95" s="197">
        <v>-0.6132501235474096</v>
      </c>
      <c r="G95" s="198">
        <v>0.28835046060631098</v>
      </c>
      <c r="H95" s="197">
        <v>97.644881427473166</v>
      </c>
      <c r="I95" s="197">
        <v>-0.45083108588939885</v>
      </c>
      <c r="J95" s="198">
        <v>0.27809400692982134</v>
      </c>
    </row>
    <row r="96" spans="1:10">
      <c r="A96" s="196">
        <v>1</v>
      </c>
      <c r="B96">
        <v>14</v>
      </c>
      <c r="C96" s="196">
        <v>17</v>
      </c>
      <c r="D96" s="196">
        <v>56</v>
      </c>
      <c r="E96" s="197">
        <v>34.324867568583187</v>
      </c>
      <c r="F96" s="197">
        <v>-0.25301183386999865</v>
      </c>
      <c r="G96" s="198">
        <v>0.52155224166553826</v>
      </c>
      <c r="H96" s="197">
        <v>32.933098250173558</v>
      </c>
      <c r="I96" s="197">
        <v>-1.3917693184096294</v>
      </c>
      <c r="J96" s="198">
        <v>3.2018285979110855E-3</v>
      </c>
    </row>
    <row r="97" spans="1:10">
      <c r="A97" s="196">
        <v>1</v>
      </c>
      <c r="B97">
        <v>14</v>
      </c>
      <c r="C97" s="196">
        <v>18</v>
      </c>
      <c r="D97" s="196">
        <v>51</v>
      </c>
      <c r="E97" s="197">
        <v>17.797153881242252</v>
      </c>
      <c r="F97" s="197">
        <v>0.61476264797525781</v>
      </c>
      <c r="G97" s="198">
        <v>2.885024900525408E-2</v>
      </c>
      <c r="H97" s="197">
        <v>18.84679398124225</v>
      </c>
      <c r="I97" s="197">
        <v>1.0496400999999977</v>
      </c>
      <c r="J97" s="198">
        <v>6.0923805808204439E-4</v>
      </c>
    </row>
    <row r="98" spans="1:10">
      <c r="A98" s="196">
        <v>1</v>
      </c>
      <c r="B98">
        <v>14</v>
      </c>
      <c r="C98" s="196">
        <v>18</v>
      </c>
      <c r="D98" s="196">
        <v>52</v>
      </c>
      <c r="E98" s="197">
        <v>90.565000000000012</v>
      </c>
      <c r="F98" s="197">
        <v>-9.2616611049313864</v>
      </c>
      <c r="G98" s="198">
        <v>0.24273032029191188</v>
      </c>
      <c r="H98" s="197">
        <v>96.956997676178005</v>
      </c>
      <c r="I98" s="197">
        <v>7.0579116393507393</v>
      </c>
      <c r="J98" s="198">
        <v>0.41784600124907001</v>
      </c>
    </row>
    <row r="99" spans="1:10">
      <c r="A99" s="196">
        <v>1</v>
      </c>
      <c r="B99">
        <v>14</v>
      </c>
      <c r="C99" s="196">
        <v>18</v>
      </c>
      <c r="D99" s="196">
        <v>54</v>
      </c>
      <c r="E99" s="197">
        <v>95.76429584587612</v>
      </c>
      <c r="F99" s="197">
        <v>3.5712817722640717</v>
      </c>
      <c r="G99" s="198">
        <v>0.32684642380039042</v>
      </c>
      <c r="H99" s="197">
        <v>94.784362235101213</v>
      </c>
      <c r="I99" s="197">
        <v>-0.97993361077490704</v>
      </c>
      <c r="J99" s="198">
        <v>8.215896655761476E-2</v>
      </c>
    </row>
    <row r="100" spans="1:10">
      <c r="A100" s="196">
        <v>1</v>
      </c>
      <c r="B100">
        <v>14</v>
      </c>
      <c r="C100" s="196">
        <v>18</v>
      </c>
      <c r="D100" s="196">
        <v>55</v>
      </c>
      <c r="E100" s="197">
        <v>74.3723300325113</v>
      </c>
      <c r="F100" s="197">
        <v>3.5712817722640717</v>
      </c>
      <c r="G100" s="198">
        <v>0.32684642380039042</v>
      </c>
      <c r="H100" s="197">
        <v>71.542130655373711</v>
      </c>
      <c r="I100" s="197">
        <v>-3.8054466975828136</v>
      </c>
      <c r="J100" s="198">
        <v>0.43532581903113665</v>
      </c>
    </row>
    <row r="101" spans="1:10">
      <c r="A101" s="196">
        <v>1</v>
      </c>
      <c r="B101">
        <v>14</v>
      </c>
      <c r="C101" s="196">
        <v>18</v>
      </c>
      <c r="D101" s="196">
        <v>56</v>
      </c>
      <c r="E101" s="197">
        <v>6.393141137586392</v>
      </c>
      <c r="F101" s="197">
        <v>0.1670157280521132</v>
      </c>
      <c r="G101" s="198">
        <v>0.59854561486567537</v>
      </c>
      <c r="H101" s="197">
        <v>6.0679239250842736</v>
      </c>
      <c r="I101" s="197">
        <v>-0.32521721250211844</v>
      </c>
      <c r="J101" s="198">
        <v>0.31499978206737089</v>
      </c>
    </row>
    <row r="102" spans="1:10">
      <c r="A102" s="196">
        <v>1</v>
      </c>
      <c r="B102">
        <v>14</v>
      </c>
      <c r="C102" s="196">
        <v>19</v>
      </c>
      <c r="D102" s="196">
        <v>51</v>
      </c>
      <c r="E102" s="197">
        <v>19.698861299418684</v>
      </c>
      <c r="F102" s="197">
        <v>1.1744186573211455</v>
      </c>
      <c r="G102" s="198">
        <v>1.3997449535017625E-4</v>
      </c>
      <c r="H102" s="197">
        <v>20.398086332752015</v>
      </c>
      <c r="I102" s="197">
        <v>0.69922503333333097</v>
      </c>
      <c r="J102" s="198">
        <v>5.1842944548735656E-2</v>
      </c>
    </row>
    <row r="103" spans="1:10">
      <c r="A103" s="196">
        <v>1</v>
      </c>
      <c r="B103">
        <v>14</v>
      </c>
      <c r="C103" s="196">
        <v>19</v>
      </c>
      <c r="D103" s="196">
        <v>52</v>
      </c>
      <c r="E103" s="197">
        <v>89.202777777777811</v>
      </c>
      <c r="F103" s="197">
        <v>0.77660363366707208</v>
      </c>
      <c r="G103" s="198">
        <v>0.93623650472012188</v>
      </c>
      <c r="H103" s="197">
        <v>87.709714497306891</v>
      </c>
      <c r="I103" s="197">
        <v>-1.6737856350061668</v>
      </c>
      <c r="J103" s="198">
        <v>0.88822697440025689</v>
      </c>
    </row>
    <row r="104" spans="1:10">
      <c r="A104" s="196">
        <v>1</v>
      </c>
      <c r="B104">
        <v>14</v>
      </c>
      <c r="C104" s="196">
        <v>19</v>
      </c>
      <c r="D104" s="196">
        <v>54</v>
      </c>
      <c r="E104" s="197">
        <v>92.688171082627051</v>
      </c>
      <c r="F104" s="197">
        <v>-0.21031296186463705</v>
      </c>
      <c r="G104" s="198">
        <v>0.96320893618769132</v>
      </c>
      <c r="H104" s="197">
        <v>96.825167810555953</v>
      </c>
      <c r="I104" s="197">
        <v>4.1369967279289028</v>
      </c>
      <c r="J104" s="198">
        <v>5.2886356619484869E-2</v>
      </c>
    </row>
    <row r="105" spans="1:10">
      <c r="A105" s="196">
        <v>1</v>
      </c>
      <c r="B105">
        <v>14</v>
      </c>
      <c r="C105" s="196">
        <v>19</v>
      </c>
      <c r="D105" s="196">
        <v>55</v>
      </c>
      <c r="E105" s="197">
        <v>69.869671286775798</v>
      </c>
      <c r="F105" s="197">
        <v>-0.21031296186463705</v>
      </c>
      <c r="G105" s="198">
        <v>0.96320893618769132</v>
      </c>
      <c r="H105" s="197">
        <v>70.718530297483426</v>
      </c>
      <c r="I105" s="197">
        <v>1.21491771046631</v>
      </c>
      <c r="J105" s="198">
        <v>0.84530591715512493</v>
      </c>
    </row>
    <row r="106" spans="1:10">
      <c r="A106" s="196">
        <v>1</v>
      </c>
      <c r="B106">
        <v>14</v>
      </c>
      <c r="C106" s="196">
        <v>19</v>
      </c>
      <c r="D106" s="196">
        <v>56</v>
      </c>
      <c r="E106" s="197">
        <v>4.5512732765683444</v>
      </c>
      <c r="F106" s="197">
        <v>0.2182764487179078</v>
      </c>
      <c r="G106" s="198">
        <v>0.48790722178758916</v>
      </c>
      <c r="H106" s="197">
        <v>4.821226645017</v>
      </c>
      <c r="I106" s="197">
        <v>0.2699533684486557</v>
      </c>
      <c r="J106" s="198">
        <v>0.40990392961046251</v>
      </c>
    </row>
    <row r="107" spans="1:10">
      <c r="A107" s="196">
        <v>1</v>
      </c>
      <c r="B107">
        <v>3</v>
      </c>
      <c r="C107" s="196">
        <v>13</v>
      </c>
      <c r="D107" s="196">
        <v>51</v>
      </c>
      <c r="E107" s="197">
        <v>18.538181003703865</v>
      </c>
      <c r="F107" s="197">
        <v>0.78250565102262704</v>
      </c>
      <c r="G107" s="198">
        <v>8.2233767330333585E-4</v>
      </c>
      <c r="H107" s="197">
        <v>19.28267932037053</v>
      </c>
      <c r="I107" s="197">
        <v>0.74449831666666455</v>
      </c>
      <c r="J107" s="198">
        <v>4.638993888369124E-3</v>
      </c>
    </row>
    <row r="108" spans="1:10">
      <c r="A108" s="196">
        <v>1</v>
      </c>
      <c r="B108">
        <v>3</v>
      </c>
      <c r="C108" s="196">
        <v>13</v>
      </c>
      <c r="D108" s="196">
        <v>52</v>
      </c>
      <c r="E108" s="197">
        <v>156.00388888888889</v>
      </c>
      <c r="F108" s="197">
        <v>32.133592880978853</v>
      </c>
      <c r="G108" s="198">
        <v>1.9998066127300262E-3</v>
      </c>
      <c r="H108" s="197">
        <v>172.34297449679156</v>
      </c>
      <c r="I108" s="197">
        <v>10.47351173376191</v>
      </c>
      <c r="J108" s="198">
        <v>0.20468009617659666</v>
      </c>
    </row>
    <row r="109" spans="1:10">
      <c r="A109" s="196">
        <v>1</v>
      </c>
      <c r="B109">
        <v>3</v>
      </c>
      <c r="C109" s="196">
        <v>13</v>
      </c>
      <c r="D109" s="196">
        <v>54</v>
      </c>
      <c r="E109" s="197">
        <v>97.075462228814942</v>
      </c>
      <c r="F109" s="197">
        <v>-2.0140101046679675</v>
      </c>
      <c r="G109" s="198">
        <v>3.7481455293114675E-2</v>
      </c>
      <c r="H109" s="197">
        <v>99.814405343379462</v>
      </c>
      <c r="I109" s="197">
        <v>2.7389431145645204</v>
      </c>
      <c r="J109" s="198">
        <v>1.3017008311774263E-2</v>
      </c>
    </row>
    <row r="110" spans="1:10">
      <c r="A110" s="196">
        <v>1</v>
      </c>
      <c r="B110">
        <v>3</v>
      </c>
      <c r="C110" s="196">
        <v>13</v>
      </c>
      <c r="D110" s="196">
        <v>55</v>
      </c>
      <c r="E110" s="197">
        <v>97.411166394928173</v>
      </c>
      <c r="F110" s="197">
        <v>-2.0140101046679675</v>
      </c>
      <c r="G110" s="198">
        <v>3.7481455293114675E-2</v>
      </c>
      <c r="H110" s="197">
        <v>94.723179460456109</v>
      </c>
      <c r="I110" s="197">
        <v>-2.7594238257802228</v>
      </c>
      <c r="J110" s="198">
        <v>0.13576695392557159</v>
      </c>
    </row>
    <row r="111" spans="1:10">
      <c r="A111" s="196">
        <v>1</v>
      </c>
      <c r="B111">
        <v>3</v>
      </c>
      <c r="C111" s="196">
        <v>13</v>
      </c>
      <c r="D111" s="196">
        <v>56</v>
      </c>
      <c r="E111" s="197">
        <v>6.6201488811667586</v>
      </c>
      <c r="F111" s="197">
        <v>-0.28793234931824369</v>
      </c>
      <c r="G111" s="198">
        <v>1.0337522755878149E-3</v>
      </c>
      <c r="H111" s="197">
        <v>6.6200617499375811</v>
      </c>
      <c r="I111" s="197">
        <v>-8.7131229177472846E-5</v>
      </c>
      <c r="J111" s="198">
        <v>0.99951181548654477</v>
      </c>
    </row>
    <row r="112" spans="1:10">
      <c r="A112" s="196">
        <v>1</v>
      </c>
      <c r="B112">
        <v>3</v>
      </c>
      <c r="C112" s="196">
        <v>14</v>
      </c>
      <c r="D112" s="196">
        <v>51</v>
      </c>
      <c r="E112" s="197">
        <v>10.576690861368867</v>
      </c>
      <c r="F112" s="197">
        <v>2.5023683869485457E-2</v>
      </c>
      <c r="G112" s="198">
        <v>0.9068001952162914</v>
      </c>
      <c r="H112" s="197">
        <v>11.917163428035529</v>
      </c>
      <c r="I112" s="197">
        <v>1.3404725666666621</v>
      </c>
      <c r="J112" s="198">
        <v>1.5019517537048971E-5</v>
      </c>
    </row>
    <row r="113" spans="1:10">
      <c r="A113" s="196">
        <v>1</v>
      </c>
      <c r="B113">
        <v>3</v>
      </c>
      <c r="C113" s="196">
        <v>14</v>
      </c>
      <c r="D113" s="196">
        <v>52</v>
      </c>
      <c r="E113" s="197">
        <v>100.31666666666666</v>
      </c>
      <c r="F113" s="197">
        <v>5.5871709306636888</v>
      </c>
      <c r="G113" s="198">
        <v>0.53869539499282837</v>
      </c>
      <c r="H113" s="197">
        <v>109.32180377519539</v>
      </c>
      <c r="I113" s="197">
        <v>8.9767108574800467</v>
      </c>
      <c r="J113" s="198">
        <v>0.2799375611127215</v>
      </c>
    </row>
    <row r="114" spans="1:10">
      <c r="A114" s="196">
        <v>1</v>
      </c>
      <c r="B114">
        <v>3</v>
      </c>
      <c r="C114" s="196">
        <v>14</v>
      </c>
      <c r="D114" s="196">
        <v>54</v>
      </c>
      <c r="E114" s="197">
        <v>93.527072516230334</v>
      </c>
      <c r="F114" s="197">
        <v>0.18822579268562972</v>
      </c>
      <c r="G114" s="198">
        <v>0.92464272699570116</v>
      </c>
      <c r="H114" s="197">
        <v>98.501330447644548</v>
      </c>
      <c r="I114" s="197">
        <v>4.9742579314142148</v>
      </c>
      <c r="J114" s="198">
        <v>4.337302862007716E-5</v>
      </c>
    </row>
    <row r="115" spans="1:10">
      <c r="A115" s="196">
        <v>1</v>
      </c>
      <c r="B115">
        <v>3</v>
      </c>
      <c r="C115" s="196">
        <v>14</v>
      </c>
      <c r="D115" s="196">
        <v>55</v>
      </c>
      <c r="E115" s="197">
        <v>89.851768873148913</v>
      </c>
      <c r="F115" s="197">
        <v>0.18822579268562972</v>
      </c>
      <c r="G115" s="198">
        <v>0.92464272699570116</v>
      </c>
      <c r="H115" s="197">
        <v>89.973498324761323</v>
      </c>
      <c r="I115" s="197">
        <v>0.13547808033057696</v>
      </c>
      <c r="J115" s="198">
        <v>0.93267003270206961</v>
      </c>
    </row>
    <row r="116" spans="1:10">
      <c r="A116" s="196">
        <v>1</v>
      </c>
      <c r="B116">
        <v>3</v>
      </c>
      <c r="C116" s="196">
        <v>14</v>
      </c>
      <c r="D116" s="196">
        <v>56</v>
      </c>
      <c r="E116" s="197">
        <v>5.8764771688591253</v>
      </c>
      <c r="F116" s="197">
        <v>6.6621499255164526E-3</v>
      </c>
      <c r="G116" s="198">
        <v>0.96080364002368179</v>
      </c>
      <c r="H116" s="197">
        <v>6.2119650169964356</v>
      </c>
      <c r="I116" s="197">
        <v>0.33548784813731025</v>
      </c>
      <c r="J116" s="198">
        <v>1.5685435034623812E-2</v>
      </c>
    </row>
    <row r="117" spans="1:10">
      <c r="A117" s="196">
        <v>1</v>
      </c>
      <c r="B117">
        <v>3</v>
      </c>
      <c r="C117" s="196">
        <v>15</v>
      </c>
      <c r="D117" s="196">
        <v>51</v>
      </c>
      <c r="E117" s="197">
        <v>2.4430925935630987</v>
      </c>
      <c r="F117" s="197">
        <v>0.93059819711116942</v>
      </c>
      <c r="G117" s="198">
        <v>7.9944401253164529E-2</v>
      </c>
      <c r="H117" s="197">
        <v>3.6917084935630995</v>
      </c>
      <c r="I117" s="197">
        <v>1.2486159000000008</v>
      </c>
      <c r="J117" s="198">
        <v>1.4356595411300709E-2</v>
      </c>
    </row>
    <row r="118" spans="1:10">
      <c r="A118" s="196">
        <v>1</v>
      </c>
      <c r="B118">
        <v>3</v>
      </c>
      <c r="C118" s="196">
        <v>15</v>
      </c>
      <c r="D118" s="196">
        <v>52</v>
      </c>
      <c r="E118" s="197">
        <v>42.374444444444443</v>
      </c>
      <c r="F118" s="197">
        <v>0.84189840563589857</v>
      </c>
      <c r="G118" s="198">
        <v>0.82103711366653442</v>
      </c>
      <c r="H118" s="197">
        <v>43.100816255473667</v>
      </c>
      <c r="I118" s="197">
        <v>1.7141742400458932</v>
      </c>
      <c r="J118" s="198">
        <v>0.83404116984325827</v>
      </c>
    </row>
    <row r="119" spans="1:10">
      <c r="A119" s="196">
        <v>1</v>
      </c>
      <c r="B119">
        <v>3</v>
      </c>
      <c r="C119" s="196">
        <v>15</v>
      </c>
      <c r="D119" s="196">
        <v>54</v>
      </c>
      <c r="E119" s="197">
        <v>89.259469569598906</v>
      </c>
      <c r="F119" s="197">
        <v>3.1005704958554441</v>
      </c>
      <c r="G119" s="198">
        <v>0.29411458040611715</v>
      </c>
      <c r="H119" s="197">
        <v>92.055390380044045</v>
      </c>
      <c r="I119" s="197">
        <v>2.7959208104451392</v>
      </c>
      <c r="J119" s="198">
        <v>0.15746540045641266</v>
      </c>
    </row>
    <row r="120" spans="1:10">
      <c r="A120" s="196">
        <v>1</v>
      </c>
      <c r="B120">
        <v>3</v>
      </c>
      <c r="C120" s="196">
        <v>15</v>
      </c>
      <c r="D120" s="196">
        <v>55</v>
      </c>
      <c r="E120" s="197">
        <v>74.409142993742776</v>
      </c>
      <c r="F120" s="197">
        <v>3.1005704958554441</v>
      </c>
      <c r="G120" s="198">
        <v>0.29411458040611715</v>
      </c>
      <c r="H120" s="197">
        <v>74.814800161815612</v>
      </c>
      <c r="I120" s="197">
        <v>0.5451711332126824</v>
      </c>
      <c r="J120" s="198">
        <v>0.82286496333502634</v>
      </c>
    </row>
    <row r="121" spans="1:10">
      <c r="A121" s="196">
        <v>1</v>
      </c>
      <c r="B121">
        <v>3</v>
      </c>
      <c r="C121" s="196">
        <v>15</v>
      </c>
      <c r="D121" s="196">
        <v>56</v>
      </c>
      <c r="E121" s="197">
        <v>3.3201492380429096</v>
      </c>
      <c r="F121" s="197">
        <v>0.17064628584629704</v>
      </c>
      <c r="G121" s="198">
        <v>0.26490674527847857</v>
      </c>
      <c r="H121" s="197">
        <v>3.4749209482142041</v>
      </c>
      <c r="I121" s="197">
        <v>0.15477171017129443</v>
      </c>
      <c r="J121" s="198">
        <v>0.25351083654042716</v>
      </c>
    </row>
    <row r="122" spans="1:10">
      <c r="A122" s="196">
        <v>1</v>
      </c>
      <c r="B122">
        <v>3</v>
      </c>
      <c r="C122" s="196">
        <v>16</v>
      </c>
      <c r="D122" s="196">
        <v>51</v>
      </c>
      <c r="E122" s="197">
        <v>-2.2976190233270715</v>
      </c>
      <c r="F122" s="197">
        <v>0.32570422230655255</v>
      </c>
      <c r="G122" s="198">
        <v>0.53719449378844919</v>
      </c>
      <c r="H122" s="197">
        <v>-1.4137662549199208</v>
      </c>
      <c r="I122" s="197">
        <v>1.2</v>
      </c>
      <c r="J122" s="198">
        <v>0.01</v>
      </c>
    </row>
    <row r="123" spans="1:10">
      <c r="A123" s="196">
        <v>1</v>
      </c>
      <c r="B123">
        <v>3</v>
      </c>
      <c r="C123" s="196">
        <v>16</v>
      </c>
      <c r="D123" s="196">
        <v>52</v>
      </c>
      <c r="E123" s="197">
        <v>108.545</v>
      </c>
      <c r="F123" s="197">
        <v>6.3392287727104222</v>
      </c>
      <c r="G123" s="198">
        <v>0.28206294775009155</v>
      </c>
      <c r="H123" s="197">
        <v>120.49794988727578</v>
      </c>
      <c r="I123" s="197">
        <v>11.011976495716786</v>
      </c>
      <c r="J123" s="198">
        <v>6.4112539214743747E-2</v>
      </c>
    </row>
    <row r="124" spans="1:10">
      <c r="A124" s="196">
        <v>1</v>
      </c>
      <c r="B124">
        <v>3</v>
      </c>
      <c r="C124" s="196">
        <v>16</v>
      </c>
      <c r="D124" s="196">
        <v>54</v>
      </c>
      <c r="E124" s="197">
        <v>91.999192160837211</v>
      </c>
      <c r="F124" s="197">
        <v>0.52994172863327893</v>
      </c>
      <c r="G124" s="198">
        <v>0.37807068108622233</v>
      </c>
      <c r="H124" s="197">
        <v>90.391364881648727</v>
      </c>
      <c r="I124" s="197">
        <v>-1.6078272791884842</v>
      </c>
      <c r="J124" s="198">
        <v>0.34193101012212379</v>
      </c>
    </row>
    <row r="125" spans="1:10">
      <c r="A125" s="196">
        <v>1</v>
      </c>
      <c r="B125">
        <v>3</v>
      </c>
      <c r="C125" s="196">
        <v>16</v>
      </c>
      <c r="D125" s="196">
        <v>55</v>
      </c>
      <c r="E125" s="197">
        <v>96.495306207394918</v>
      </c>
      <c r="F125" s="197">
        <v>0.52994172863327893</v>
      </c>
      <c r="G125" s="198">
        <v>0.37807068108622233</v>
      </c>
      <c r="H125" s="197">
        <v>95.789593001340052</v>
      </c>
      <c r="I125" s="197">
        <v>-0.73134459466670587</v>
      </c>
      <c r="J125" s="198">
        <v>7.6423071275328672E-2</v>
      </c>
    </row>
    <row r="126" spans="1:10">
      <c r="A126" s="196">
        <v>1</v>
      </c>
      <c r="B126">
        <v>3</v>
      </c>
      <c r="C126" s="196">
        <v>16</v>
      </c>
      <c r="D126" s="196">
        <v>56</v>
      </c>
      <c r="E126" s="197">
        <v>25.767533160918639</v>
      </c>
      <c r="F126" s="197">
        <v>0.61952507756872077</v>
      </c>
      <c r="G126" s="198">
        <v>0.41097485859962213</v>
      </c>
      <c r="H126" s="197">
        <v>25.117578948919714</v>
      </c>
      <c r="I126" s="197">
        <v>0.61952507756872077</v>
      </c>
      <c r="J126" s="198">
        <v>0.41097485859962213</v>
      </c>
    </row>
    <row r="127" spans="1:10">
      <c r="A127" s="196">
        <v>1</v>
      </c>
      <c r="B127">
        <v>3</v>
      </c>
      <c r="C127" s="196">
        <v>17</v>
      </c>
      <c r="D127" s="196">
        <v>51</v>
      </c>
      <c r="E127" s="197">
        <v>8.1652070910008892</v>
      </c>
      <c r="F127" s="197">
        <v>0.35191357254305877</v>
      </c>
      <c r="G127" s="198">
        <v>0.15083063574945244</v>
      </c>
      <c r="H127" s="197">
        <v>8.8401874576675574</v>
      </c>
      <c r="I127" s="197">
        <v>0.67498036666666827</v>
      </c>
      <c r="J127" s="198">
        <v>9.5014627921416964E-3</v>
      </c>
    </row>
    <row r="128" spans="1:10">
      <c r="A128" s="196">
        <v>1</v>
      </c>
      <c r="B128">
        <v>3</v>
      </c>
      <c r="C128" s="196">
        <v>17</v>
      </c>
      <c r="D128" s="196">
        <v>52</v>
      </c>
      <c r="E128" s="197">
        <v>141.01555555555555</v>
      </c>
      <c r="F128" s="197">
        <v>16.889284390063029</v>
      </c>
      <c r="G128" s="198">
        <v>1.056022010743618E-2</v>
      </c>
      <c r="H128" s="197">
        <v>147.12935661895165</v>
      </c>
      <c r="I128" s="197">
        <v>4.3355508116177059</v>
      </c>
      <c r="J128" s="198">
        <v>0.51014614590189211</v>
      </c>
    </row>
    <row r="129" spans="1:10">
      <c r="A129" s="196">
        <v>1</v>
      </c>
      <c r="B129">
        <v>3</v>
      </c>
      <c r="C129" s="196">
        <v>17</v>
      </c>
      <c r="D129" s="196">
        <v>54</v>
      </c>
      <c r="E129" s="197">
        <v>97.974706622383238</v>
      </c>
      <c r="F129" s="197">
        <v>0.6778758289279867</v>
      </c>
      <c r="G129" s="198">
        <v>3.7609938339271162E-2</v>
      </c>
      <c r="H129" s="197">
        <v>95.152884168318465</v>
      </c>
      <c r="I129" s="197">
        <v>-2.8218224540647725</v>
      </c>
      <c r="J129" s="198">
        <v>1.7269576157177533E-2</v>
      </c>
    </row>
    <row r="130" spans="1:10">
      <c r="A130" s="196">
        <v>1</v>
      </c>
      <c r="B130">
        <v>3</v>
      </c>
      <c r="C130" s="196">
        <v>17</v>
      </c>
      <c r="D130" s="196">
        <v>55</v>
      </c>
      <c r="E130" s="197">
        <v>98.820148151409029</v>
      </c>
      <c r="F130" s="197">
        <v>0.6778758289279867</v>
      </c>
      <c r="G130" s="198">
        <v>3.7609938339271162E-2</v>
      </c>
      <c r="H130" s="197">
        <v>98.203520452848252</v>
      </c>
      <c r="I130" s="197">
        <v>-0.62398985439285692</v>
      </c>
      <c r="J130" s="198">
        <v>0.36596759035990367</v>
      </c>
    </row>
    <row r="131" spans="1:10">
      <c r="A131" s="196">
        <v>1</v>
      </c>
      <c r="B131">
        <v>3</v>
      </c>
      <c r="C131" s="196">
        <v>17</v>
      </c>
      <c r="D131" s="196">
        <v>56</v>
      </c>
      <c r="E131" s="197">
        <v>34.851786783467986</v>
      </c>
      <c r="F131" s="197">
        <v>0.21216646229340716</v>
      </c>
      <c r="G131" s="198">
        <v>0.37044326411638884</v>
      </c>
      <c r="H131" s="197">
        <v>33.626665810217432</v>
      </c>
      <c r="I131" s="197">
        <v>-1.2251209732505544</v>
      </c>
      <c r="J131" s="198">
        <v>6.8140533299074109E-3</v>
      </c>
    </row>
    <row r="132" spans="1:10">
      <c r="A132" s="196">
        <v>1</v>
      </c>
      <c r="B132">
        <v>3</v>
      </c>
      <c r="C132" s="196">
        <v>18</v>
      </c>
      <c r="D132" s="196">
        <v>51</v>
      </c>
      <c r="E132" s="197">
        <v>16.961296295943093</v>
      </c>
      <c r="F132" s="197">
        <v>0.57093066344110399</v>
      </c>
      <c r="G132" s="198">
        <v>2.7669955226584133E-2</v>
      </c>
      <c r="H132" s="197">
        <v>17.978282362609761</v>
      </c>
      <c r="I132" s="197">
        <v>1.0169860666666661</v>
      </c>
      <c r="J132" s="198">
        <v>5.4285406468209654E-4</v>
      </c>
    </row>
    <row r="133" spans="1:10">
      <c r="A133" s="196">
        <v>1</v>
      </c>
      <c r="B133">
        <v>3</v>
      </c>
      <c r="C133" s="196">
        <v>18</v>
      </c>
      <c r="D133" s="196">
        <v>52</v>
      </c>
      <c r="E133" s="197">
        <v>79.156111111111159</v>
      </c>
      <c r="F133" s="197">
        <v>-3.0326659251019521</v>
      </c>
      <c r="G133" s="198">
        <v>0.63954788446426392</v>
      </c>
      <c r="H133" s="197">
        <v>86.16121767287413</v>
      </c>
      <c r="I133" s="197">
        <v>8.8497356217133163</v>
      </c>
      <c r="J133" s="198">
        <v>0.27952316117185927</v>
      </c>
    </row>
    <row r="134" spans="1:10">
      <c r="A134" s="196">
        <v>1</v>
      </c>
      <c r="B134">
        <v>3</v>
      </c>
      <c r="C134" s="196">
        <v>18</v>
      </c>
      <c r="D134" s="196">
        <v>54</v>
      </c>
      <c r="E134" s="197">
        <v>97.791780019907804</v>
      </c>
      <c r="F134" s="197">
        <v>1.3710833935570774</v>
      </c>
      <c r="G134" s="198">
        <v>0.63252441121829284</v>
      </c>
      <c r="H134" s="197">
        <v>98.534637008013618</v>
      </c>
      <c r="I134" s="197">
        <v>0.7428569881058138</v>
      </c>
      <c r="J134" s="198">
        <v>0.18281715636899643</v>
      </c>
    </row>
    <row r="135" spans="1:10">
      <c r="A135" s="196">
        <v>1</v>
      </c>
      <c r="B135">
        <v>3</v>
      </c>
      <c r="C135" s="196">
        <v>18</v>
      </c>
      <c r="D135" s="196">
        <v>55</v>
      </c>
      <c r="E135" s="197">
        <v>79.8305594198861</v>
      </c>
      <c r="F135" s="197">
        <v>1.3710833935570774</v>
      </c>
      <c r="G135" s="198">
        <v>0.63252441121829284</v>
      </c>
      <c r="H135" s="197">
        <v>74.714726681304896</v>
      </c>
      <c r="I135" s="197">
        <v>-6.408363884403431</v>
      </c>
      <c r="J135" s="198">
        <v>0.2327204592343729</v>
      </c>
    </row>
    <row r="136" spans="1:10">
      <c r="A136" s="196">
        <v>1</v>
      </c>
      <c r="B136">
        <v>3</v>
      </c>
      <c r="C136" s="196">
        <v>18</v>
      </c>
      <c r="D136" s="196">
        <v>56</v>
      </c>
      <c r="E136" s="197">
        <v>7.0331305713874821</v>
      </c>
      <c r="F136" s="197">
        <v>9.3161825700452838E-2</v>
      </c>
      <c r="G136" s="198">
        <v>0.73086655342462437</v>
      </c>
      <c r="H136" s="197">
        <v>6.6654326359101059</v>
      </c>
      <c r="I136" s="197">
        <v>-0.36769793547737617</v>
      </c>
      <c r="J136" s="198">
        <v>0.28377702918152303</v>
      </c>
    </row>
    <row r="137" spans="1:10">
      <c r="A137" s="196">
        <v>1</v>
      </c>
      <c r="B137">
        <v>3</v>
      </c>
      <c r="C137" s="196">
        <v>19</v>
      </c>
      <c r="D137" s="196">
        <v>51</v>
      </c>
      <c r="E137" s="197">
        <v>18.972419356308528</v>
      </c>
      <c r="F137" s="197">
        <v>0.98184960803184118</v>
      </c>
      <c r="G137" s="198">
        <v>2.2664265686489003E-3</v>
      </c>
      <c r="H137" s="197">
        <v>19.344603556308527</v>
      </c>
      <c r="I137" s="197">
        <v>0.37218419999999952</v>
      </c>
      <c r="J137" s="198">
        <v>0.21507621258029475</v>
      </c>
    </row>
    <row r="138" spans="1:10">
      <c r="A138" s="196">
        <v>1</v>
      </c>
      <c r="B138">
        <v>3</v>
      </c>
      <c r="C138" s="196">
        <v>19</v>
      </c>
      <c r="D138" s="196">
        <v>52</v>
      </c>
      <c r="E138" s="197">
        <v>93.03055555555558</v>
      </c>
      <c r="F138" s="197">
        <v>14.131813125695217</v>
      </c>
      <c r="G138" s="198">
        <v>8.5541136562824249E-2</v>
      </c>
      <c r="H138" s="197">
        <v>118.08638295154033</v>
      </c>
      <c r="I138" s="197">
        <v>26.932900966093896</v>
      </c>
      <c r="J138" s="198">
        <v>2.4200503380952535E-2</v>
      </c>
    </row>
    <row r="139" spans="1:10">
      <c r="A139" s="196">
        <v>1</v>
      </c>
      <c r="B139">
        <v>3</v>
      </c>
      <c r="C139" s="196">
        <v>19</v>
      </c>
      <c r="D139" s="196">
        <v>54</v>
      </c>
      <c r="E139" s="197">
        <v>89.395051094345845</v>
      </c>
      <c r="F139" s="197">
        <v>-6.7983456522719932</v>
      </c>
      <c r="G139" s="198">
        <v>7.3055191632261707E-2</v>
      </c>
      <c r="H139" s="197">
        <v>92.319363763784011</v>
      </c>
      <c r="I139" s="197">
        <v>2.9243126694381658</v>
      </c>
      <c r="J139" s="198">
        <v>0.17329436057121694</v>
      </c>
    </row>
    <row r="140" spans="1:10">
      <c r="A140" s="196">
        <v>1</v>
      </c>
      <c r="B140">
        <v>3</v>
      </c>
      <c r="C140" s="196">
        <v>19</v>
      </c>
      <c r="D140" s="196">
        <v>55</v>
      </c>
      <c r="E140" s="197">
        <v>68.281342808387436</v>
      </c>
      <c r="F140" s="197">
        <v>-6.7983456522719932</v>
      </c>
      <c r="G140" s="198">
        <v>7.3055191632261707E-2</v>
      </c>
      <c r="H140" s="197">
        <v>56.873284638817786</v>
      </c>
      <c r="I140" s="197">
        <v>-16.707430903318912</v>
      </c>
      <c r="J140" s="198">
        <v>2.0591641169318983E-2</v>
      </c>
    </row>
    <row r="141" spans="1:10">
      <c r="A141" s="196">
        <v>1</v>
      </c>
      <c r="B141">
        <v>3</v>
      </c>
      <c r="C141" s="196">
        <v>19</v>
      </c>
      <c r="D141" s="196">
        <v>56</v>
      </c>
      <c r="E141" s="197">
        <v>4.299437674376005</v>
      </c>
      <c r="F141" s="197">
        <v>-0.18084012237158262</v>
      </c>
      <c r="G141" s="198">
        <v>0.51767714275258092</v>
      </c>
      <c r="H141" s="197">
        <v>3.7563164804911855</v>
      </c>
      <c r="I141" s="197">
        <v>-0.5431211938848195</v>
      </c>
      <c r="J141" s="198">
        <v>8.3769540555787878E-2</v>
      </c>
    </row>
    <row r="142" spans="1:10">
      <c r="A142" s="196">
        <v>1</v>
      </c>
      <c r="B142">
        <v>17</v>
      </c>
      <c r="C142" s="196">
        <v>13</v>
      </c>
      <c r="D142" s="196">
        <v>51</v>
      </c>
      <c r="E142" s="197">
        <v>18.538181003703865</v>
      </c>
      <c r="F142" s="197">
        <v>0.94648095323271697</v>
      </c>
      <c r="G142" s="198">
        <v>4.0034916305972104E-4</v>
      </c>
      <c r="H142" s="197">
        <v>19.579778053703865</v>
      </c>
      <c r="I142" s="197">
        <v>1.04159705</v>
      </c>
      <c r="J142" s="198">
        <v>7.3233807024769785E-3</v>
      </c>
    </row>
    <row r="143" spans="1:10">
      <c r="A143" s="196">
        <v>1</v>
      </c>
      <c r="B143">
        <v>17</v>
      </c>
      <c r="C143" s="196">
        <v>13</v>
      </c>
      <c r="D143" s="196">
        <v>52</v>
      </c>
      <c r="E143" s="197">
        <v>94.780211640211647</v>
      </c>
      <c r="F143" s="197">
        <v>-1.0697106132034042</v>
      </c>
      <c r="G143" s="198">
        <v>0.90497273889663665</v>
      </c>
      <c r="H143" s="197">
        <v>100.68647604051951</v>
      </c>
      <c r="I143" s="197">
        <v>6.2315374676817701</v>
      </c>
      <c r="J143" s="198">
        <v>0.65354469074592125</v>
      </c>
    </row>
    <row r="144" spans="1:10">
      <c r="A144" s="196">
        <v>1</v>
      </c>
      <c r="B144">
        <v>17</v>
      </c>
      <c r="C144" s="196">
        <v>13</v>
      </c>
      <c r="D144" s="196">
        <v>54</v>
      </c>
      <c r="E144" s="197">
        <v>77.133244118076419</v>
      </c>
      <c r="F144" s="197">
        <v>-0.34587148452846878</v>
      </c>
      <c r="G144" s="198">
        <v>0.70135948063153708</v>
      </c>
      <c r="H144" s="197">
        <v>68.342296150813269</v>
      </c>
      <c r="I144" s="197">
        <v>-8.7909479672631505</v>
      </c>
      <c r="J144" s="198">
        <v>9.6878127156644744E-3</v>
      </c>
    </row>
    <row r="145" spans="1:10">
      <c r="A145" s="196">
        <v>1</v>
      </c>
      <c r="B145">
        <v>17</v>
      </c>
      <c r="C145" s="196">
        <v>13</v>
      </c>
      <c r="D145" s="196">
        <v>55</v>
      </c>
      <c r="E145" s="197">
        <v>96.141711902718697</v>
      </c>
      <c r="F145" s="197">
        <v>-0.34587148452846878</v>
      </c>
      <c r="G145" s="198">
        <v>0.70135948063153708</v>
      </c>
      <c r="H145" s="197">
        <v>97.379154933928632</v>
      </c>
      <c r="I145" s="197">
        <v>1.2871031800037422</v>
      </c>
      <c r="J145" s="198">
        <v>0.53145244243926593</v>
      </c>
    </row>
    <row r="146" spans="1:10">
      <c r="A146" s="196">
        <v>1</v>
      </c>
      <c r="B146">
        <v>17</v>
      </c>
      <c r="C146" s="196">
        <v>13</v>
      </c>
      <c r="D146" s="196">
        <v>56</v>
      </c>
      <c r="E146" s="197">
        <v>5.1982605756810267</v>
      </c>
      <c r="F146" s="197">
        <v>-0.69814392221613175</v>
      </c>
      <c r="G146" s="198">
        <v>6.6777149145115934E-4</v>
      </c>
      <c r="H146" s="197">
        <v>4.7284191326468203</v>
      </c>
      <c r="I146" s="197">
        <v>-0.46984144303420639</v>
      </c>
      <c r="J146" s="198">
        <v>9.4286157246055158E-2</v>
      </c>
    </row>
    <row r="147" spans="1:10">
      <c r="A147" s="196">
        <v>1</v>
      </c>
      <c r="B147">
        <v>17</v>
      </c>
      <c r="C147" s="196">
        <v>14</v>
      </c>
      <c r="D147" s="196">
        <v>51</v>
      </c>
      <c r="E147" s="197">
        <v>10.576690861368867</v>
      </c>
      <c r="F147" s="197">
        <v>0.31205679712837475</v>
      </c>
      <c r="G147" s="198">
        <v>0.23402944209549481</v>
      </c>
      <c r="H147" s="197">
        <v>12.311998511368868</v>
      </c>
      <c r="I147" s="197">
        <v>1.7353076500000011</v>
      </c>
      <c r="J147" s="198">
        <v>5.8680024526269522E-6</v>
      </c>
    </row>
    <row r="148" spans="1:10">
      <c r="A148" s="196">
        <v>1</v>
      </c>
      <c r="B148">
        <v>17</v>
      </c>
      <c r="C148" s="196">
        <v>14</v>
      </c>
      <c r="D148" s="196">
        <v>52</v>
      </c>
      <c r="E148" s="197">
        <v>80.574074074074105</v>
      </c>
      <c r="F148" s="197">
        <v>11.724385119268334</v>
      </c>
      <c r="G148" s="198">
        <v>0.11270716738807174</v>
      </c>
      <c r="H148" s="197">
        <v>73.248592924382564</v>
      </c>
      <c r="I148" s="197">
        <v>-9.0916107120970544</v>
      </c>
      <c r="J148" s="198">
        <v>0.31930978291967782</v>
      </c>
    </row>
    <row r="149" spans="1:10">
      <c r="A149" s="196">
        <v>1</v>
      </c>
      <c r="B149">
        <v>17</v>
      </c>
      <c r="C149" s="196">
        <v>14</v>
      </c>
      <c r="D149" s="196">
        <v>54</v>
      </c>
      <c r="E149" s="197">
        <v>97.761202088464245</v>
      </c>
      <c r="F149" s="197">
        <v>3.8019605819924052</v>
      </c>
      <c r="G149" s="198">
        <v>0.10910849494587049</v>
      </c>
      <c r="H149" s="197">
        <v>96.937945057842157</v>
      </c>
      <c r="I149" s="197">
        <v>-0.82325703062208788</v>
      </c>
      <c r="J149" s="198">
        <v>0.52882030632198107</v>
      </c>
    </row>
    <row r="150" spans="1:10">
      <c r="A150" s="196">
        <v>1</v>
      </c>
      <c r="B150">
        <v>17</v>
      </c>
      <c r="C150" s="196">
        <v>14</v>
      </c>
      <c r="D150" s="196">
        <v>55</v>
      </c>
      <c r="E150" s="197">
        <v>85.149792184489286</v>
      </c>
      <c r="F150" s="197">
        <v>3.8019605819924052</v>
      </c>
      <c r="G150" s="198">
        <v>0.10910849494587049</v>
      </c>
      <c r="H150" s="197">
        <v>82.605597042421493</v>
      </c>
      <c r="I150" s="197">
        <v>-2.9879052864338451</v>
      </c>
      <c r="J150" s="198">
        <v>0.29964835149487601</v>
      </c>
    </row>
    <row r="151" spans="1:10">
      <c r="A151" s="196">
        <v>1</v>
      </c>
      <c r="B151">
        <v>17</v>
      </c>
      <c r="C151" s="196">
        <v>14</v>
      </c>
      <c r="D151" s="196">
        <v>56</v>
      </c>
      <c r="E151" s="197">
        <v>5.8266801290492127</v>
      </c>
      <c r="F151" s="197">
        <v>0.27947486372340308</v>
      </c>
      <c r="G151" s="198">
        <v>9.0516511830408514E-2</v>
      </c>
      <c r="H151" s="197">
        <v>5.5980451805003897</v>
      </c>
      <c r="I151" s="197">
        <v>-0.22863494854882305</v>
      </c>
      <c r="J151" s="198">
        <v>0.25135751521592231</v>
      </c>
    </row>
    <row r="152" spans="1:10">
      <c r="A152" s="196">
        <v>1</v>
      </c>
      <c r="B152">
        <v>17</v>
      </c>
      <c r="C152" s="196">
        <v>15</v>
      </c>
      <c r="D152" s="196">
        <v>51</v>
      </c>
      <c r="E152" s="197">
        <v>2.4430925935630987</v>
      </c>
      <c r="F152" s="197">
        <v>1.293152064094155</v>
      </c>
      <c r="G152" s="198">
        <v>1.638478627816713E-2</v>
      </c>
      <c r="H152" s="197">
        <v>3.6587169268964321</v>
      </c>
      <c r="I152" s="197">
        <v>1.2156243333333334</v>
      </c>
      <c r="J152" s="198">
        <v>1.6089724143818797E-2</v>
      </c>
    </row>
    <row r="153" spans="1:10">
      <c r="A153" s="196">
        <v>1</v>
      </c>
      <c r="B153">
        <v>17</v>
      </c>
      <c r="C153" s="196">
        <v>15</v>
      </c>
      <c r="D153" s="196">
        <v>52</v>
      </c>
      <c r="E153" s="197">
        <v>42.399100529100544</v>
      </c>
      <c r="F153" s="197">
        <v>2.6222681286084955</v>
      </c>
      <c r="G153" s="198">
        <v>0.61124034969276808</v>
      </c>
      <c r="H153" s="197">
        <v>45.236828788552856</v>
      </c>
      <c r="I153" s="197">
        <v>6.6928973115942423</v>
      </c>
      <c r="J153" s="198">
        <v>0.60451754388132883</v>
      </c>
    </row>
    <row r="154" spans="1:10">
      <c r="A154" s="196">
        <v>1</v>
      </c>
      <c r="B154">
        <v>17</v>
      </c>
      <c r="C154" s="196">
        <v>15</v>
      </c>
      <c r="D154" s="196">
        <v>54</v>
      </c>
      <c r="E154" s="197">
        <v>87.621656584075424</v>
      </c>
      <c r="F154" s="197">
        <v>3.2841198454369751</v>
      </c>
      <c r="G154" s="198">
        <v>0.25619465160230603</v>
      </c>
      <c r="H154" s="197">
        <v>88.049657506084287</v>
      </c>
      <c r="I154" s="197">
        <v>0.42800092200886297</v>
      </c>
      <c r="J154" s="198">
        <v>0.77195639427893581</v>
      </c>
    </row>
    <row r="155" spans="1:10">
      <c r="A155" s="196">
        <v>1</v>
      </c>
      <c r="B155">
        <v>17</v>
      </c>
      <c r="C155" s="196">
        <v>15</v>
      </c>
      <c r="D155" s="196">
        <v>55</v>
      </c>
      <c r="E155" s="197">
        <v>71.872984480237292</v>
      </c>
      <c r="F155" s="197">
        <v>3.2841198454369751</v>
      </c>
      <c r="G155" s="198">
        <v>0.25619465160230603</v>
      </c>
      <c r="H155" s="197">
        <v>74.529015839869572</v>
      </c>
      <c r="I155" s="197">
        <v>3.6954516065248506</v>
      </c>
      <c r="J155" s="198">
        <v>0.39149365056667051</v>
      </c>
    </row>
    <row r="156" spans="1:10">
      <c r="A156" s="196">
        <v>1</v>
      </c>
      <c r="B156">
        <v>17</v>
      </c>
      <c r="C156" s="196">
        <v>15</v>
      </c>
      <c r="D156" s="196">
        <v>56</v>
      </c>
      <c r="E156" s="197">
        <v>3.1653321153319545</v>
      </c>
      <c r="F156" s="197">
        <v>0.23688137980586194</v>
      </c>
      <c r="G156" s="198">
        <v>0.23883038860548167</v>
      </c>
      <c r="H156" s="197">
        <v>3.3207979774532648</v>
      </c>
      <c r="I156" s="197">
        <v>0.15546586212131031</v>
      </c>
      <c r="J156" s="198">
        <v>0.36936230600185838</v>
      </c>
    </row>
    <row r="157" spans="1:10">
      <c r="A157" s="196">
        <v>1</v>
      </c>
      <c r="B157">
        <v>17</v>
      </c>
      <c r="C157" s="196">
        <v>16</v>
      </c>
      <c r="D157" s="196">
        <v>51</v>
      </c>
      <c r="E157" s="197">
        <v>-2.2976190233270715</v>
      </c>
      <c r="F157" s="197">
        <v>0.28265635631526448</v>
      </c>
      <c r="G157" s="198">
        <v>0.53532535853790897</v>
      </c>
      <c r="H157" s="197">
        <v>-1.4137662549199208</v>
      </c>
      <c r="I157" s="197">
        <v>1.2</v>
      </c>
      <c r="J157" s="198">
        <v>0.01</v>
      </c>
    </row>
    <row r="158" spans="1:10">
      <c r="A158" s="196">
        <v>1</v>
      </c>
      <c r="B158">
        <v>17</v>
      </c>
      <c r="C158" s="196">
        <v>16</v>
      </c>
      <c r="D158" s="196">
        <v>52</v>
      </c>
      <c r="E158" s="197">
        <v>113.21989417989417</v>
      </c>
      <c r="F158" s="197">
        <v>5.1053763440860189</v>
      </c>
      <c r="G158" s="198">
        <v>0.54737786069565963</v>
      </c>
      <c r="H158" s="197">
        <v>131.25788351171596</v>
      </c>
      <c r="I158" s="197">
        <v>15.931819635126462</v>
      </c>
      <c r="J158" s="198">
        <v>3.1237711892433961E-2</v>
      </c>
    </row>
    <row r="159" spans="1:10">
      <c r="A159" s="196">
        <v>1</v>
      </c>
      <c r="B159">
        <v>17</v>
      </c>
      <c r="C159" s="196">
        <v>16</v>
      </c>
      <c r="D159" s="196">
        <v>54</v>
      </c>
      <c r="E159" s="197">
        <v>90.89189275846789</v>
      </c>
      <c r="F159" s="197">
        <v>-0.36493993222424137</v>
      </c>
      <c r="G159" s="198">
        <v>0.62397550469083884</v>
      </c>
      <c r="H159" s="197">
        <v>87.653030267021833</v>
      </c>
      <c r="I159" s="197">
        <v>-3.2388624914460564</v>
      </c>
      <c r="J159" s="198">
        <v>0.15022473226736144</v>
      </c>
    </row>
    <row r="160" spans="1:10">
      <c r="A160" s="196">
        <v>1</v>
      </c>
      <c r="B160">
        <v>17</v>
      </c>
      <c r="C160" s="196">
        <v>16</v>
      </c>
      <c r="D160" s="196">
        <v>55</v>
      </c>
      <c r="E160" s="197">
        <v>96.168704720748465</v>
      </c>
      <c r="F160" s="197">
        <v>-0.36493993222424137</v>
      </c>
      <c r="G160" s="198">
        <v>0.62397550469083884</v>
      </c>
      <c r="H160" s="197">
        <v>96.12037089756916</v>
      </c>
      <c r="I160" s="197">
        <v>-5.025940956536732E-2</v>
      </c>
      <c r="J160" s="198">
        <v>0.91770247922214498</v>
      </c>
    </row>
    <row r="161" spans="1:10">
      <c r="A161" s="196">
        <v>1</v>
      </c>
      <c r="B161">
        <v>17</v>
      </c>
      <c r="C161" s="196">
        <v>16</v>
      </c>
      <c r="D161" s="196">
        <v>56</v>
      </c>
      <c r="E161" s="197">
        <v>25.332766634659858</v>
      </c>
      <c r="F161" s="197">
        <v>0.42388949596255138</v>
      </c>
      <c r="G161" s="198">
        <v>0.53968111317274547</v>
      </c>
      <c r="H161" s="197">
        <v>24.38244469170769</v>
      </c>
      <c r="I161" s="197">
        <v>0.42388949596255138</v>
      </c>
      <c r="J161" s="198">
        <v>0.53968111317274547</v>
      </c>
    </row>
    <row r="162" spans="1:10">
      <c r="A162" s="196">
        <v>1</v>
      </c>
      <c r="B162">
        <v>17</v>
      </c>
      <c r="C162" s="196">
        <v>17</v>
      </c>
      <c r="D162" s="196">
        <v>51</v>
      </c>
      <c r="E162" s="197">
        <v>8.1652070910008892</v>
      </c>
      <c r="F162" s="197">
        <v>0.5312422175171303</v>
      </c>
      <c r="G162" s="198">
        <v>5.9836237107396613E-2</v>
      </c>
      <c r="H162" s="197">
        <v>8.9870771021120017</v>
      </c>
      <c r="I162" s="197">
        <v>0.82187001111111258</v>
      </c>
      <c r="J162" s="198">
        <v>6.7678194351742283E-4</v>
      </c>
    </row>
    <row r="163" spans="1:10">
      <c r="A163" s="196">
        <v>1</v>
      </c>
      <c r="B163">
        <v>17</v>
      </c>
      <c r="C163" s="196">
        <v>17</v>
      </c>
      <c r="D163" s="196">
        <v>52</v>
      </c>
      <c r="E163" s="197">
        <v>121.17915343915344</v>
      </c>
      <c r="F163" s="197">
        <v>9.4834966541307004</v>
      </c>
      <c r="G163" s="198">
        <v>0.18657356507163858</v>
      </c>
      <c r="H163" s="197">
        <v>118.66750804291429</v>
      </c>
      <c r="I163" s="197">
        <v>-2.0726711855602296</v>
      </c>
      <c r="J163" s="198">
        <v>0.77863063527823395</v>
      </c>
    </row>
    <row r="164" spans="1:10">
      <c r="A164" s="196">
        <v>1</v>
      </c>
      <c r="B164">
        <v>17</v>
      </c>
      <c r="C164" s="196">
        <v>17</v>
      </c>
      <c r="D164" s="196">
        <v>54</v>
      </c>
      <c r="E164" s="197">
        <v>94.723111655059498</v>
      </c>
      <c r="F164" s="197">
        <v>0.60698914696024775</v>
      </c>
      <c r="G164" s="198">
        <v>0.29079149764370893</v>
      </c>
      <c r="H164" s="197">
        <v>88.684017463518884</v>
      </c>
      <c r="I164" s="197">
        <v>-6.0390941915406131</v>
      </c>
      <c r="J164" s="198">
        <v>7.4286883092773226E-4</v>
      </c>
    </row>
    <row r="165" spans="1:10">
      <c r="A165" s="196">
        <v>1</v>
      </c>
      <c r="B165">
        <v>17</v>
      </c>
      <c r="C165" s="196">
        <v>17</v>
      </c>
      <c r="D165" s="196">
        <v>55</v>
      </c>
      <c r="E165" s="197">
        <v>97.547656060824409</v>
      </c>
      <c r="F165" s="197">
        <v>0.60698914696024775</v>
      </c>
      <c r="G165" s="198">
        <v>0.29079149764370893</v>
      </c>
      <c r="H165" s="197">
        <v>97.289988301687544</v>
      </c>
      <c r="I165" s="197">
        <v>-0.26414551568128208</v>
      </c>
      <c r="J165" s="198">
        <v>0.63680921883301167</v>
      </c>
    </row>
    <row r="166" spans="1:10">
      <c r="A166" s="196">
        <v>1</v>
      </c>
      <c r="B166">
        <v>17</v>
      </c>
      <c r="C166" s="196">
        <v>17</v>
      </c>
      <c r="D166" s="196">
        <v>56</v>
      </c>
      <c r="E166" s="197">
        <v>33.276805810968739</v>
      </c>
      <c r="F166" s="197">
        <v>-2.2009044550069586E-2</v>
      </c>
      <c r="G166" s="198">
        <v>0.96340907651902419</v>
      </c>
      <c r="H166" s="197">
        <v>31.049937812630517</v>
      </c>
      <c r="I166" s="197">
        <v>-2.2268679983382214</v>
      </c>
      <c r="J166" s="198">
        <v>9.6414620501240639E-4</v>
      </c>
    </row>
    <row r="167" spans="1:10">
      <c r="A167" s="196">
        <v>1</v>
      </c>
      <c r="B167">
        <v>17</v>
      </c>
      <c r="C167" s="196">
        <v>18</v>
      </c>
      <c r="D167" s="196">
        <v>51</v>
      </c>
      <c r="E167" s="197">
        <v>16.961296295943093</v>
      </c>
      <c r="F167" s="197">
        <v>0.48379577998496337</v>
      </c>
      <c r="G167" s="198">
        <v>0.19579139493400149</v>
      </c>
      <c r="H167" s="197">
        <v>18.053799029276426</v>
      </c>
      <c r="I167" s="197">
        <v>1.0925027333333333</v>
      </c>
      <c r="J167" s="198">
        <v>1.0229641671956654E-3</v>
      </c>
    </row>
    <row r="168" spans="1:10">
      <c r="A168" s="196">
        <v>1</v>
      </c>
      <c r="B168">
        <v>17</v>
      </c>
      <c r="C168" s="196">
        <v>18</v>
      </c>
      <c r="D168" s="196">
        <v>52</v>
      </c>
      <c r="E168" s="197">
        <v>67.805925925925933</v>
      </c>
      <c r="F168" s="197">
        <v>1.1994561858855435</v>
      </c>
      <c r="G168" s="198">
        <v>0.82094305600598039</v>
      </c>
      <c r="H168" s="197">
        <v>66.134731331077219</v>
      </c>
      <c r="I168" s="197">
        <v>-2.4646733630249318</v>
      </c>
      <c r="J168" s="198">
        <v>0.81309781087058264</v>
      </c>
    </row>
    <row r="169" spans="1:10">
      <c r="A169" s="196">
        <v>1</v>
      </c>
      <c r="B169">
        <v>17</v>
      </c>
      <c r="C169" s="196">
        <v>18</v>
      </c>
      <c r="D169" s="196">
        <v>54</v>
      </c>
      <c r="E169" s="197">
        <v>83.483294118711356</v>
      </c>
      <c r="F169" s="197">
        <v>-0.17027250078373204</v>
      </c>
      <c r="G169" s="198">
        <v>0.93513697760648218</v>
      </c>
      <c r="H169" s="197">
        <v>77.209456058710515</v>
      </c>
      <c r="I169" s="197">
        <v>-6.2738380600008412</v>
      </c>
      <c r="J169" s="198">
        <v>1.8286741915941598E-3</v>
      </c>
    </row>
    <row r="170" spans="1:10">
      <c r="A170" s="196">
        <v>1</v>
      </c>
      <c r="B170">
        <v>17</v>
      </c>
      <c r="C170" s="196">
        <v>18</v>
      </c>
      <c r="D170" s="196">
        <v>55</v>
      </c>
      <c r="E170" s="197">
        <v>84.753239730235052</v>
      </c>
      <c r="F170" s="197">
        <v>-0.17027250078373204</v>
      </c>
      <c r="G170" s="198">
        <v>0.93513697760648218</v>
      </c>
      <c r="H170" s="197">
        <v>85.111944461233705</v>
      </c>
      <c r="I170" s="197">
        <v>0.42323424112210017</v>
      </c>
      <c r="J170" s="198">
        <v>0.86039980087322365</v>
      </c>
    </row>
    <row r="171" spans="1:10">
      <c r="A171" s="196">
        <v>1</v>
      </c>
      <c r="B171">
        <v>17</v>
      </c>
      <c r="C171" s="196">
        <v>18</v>
      </c>
      <c r="D171" s="196">
        <v>56</v>
      </c>
      <c r="E171" s="197">
        <v>6.3075571650284861</v>
      </c>
      <c r="F171" s="197">
        <v>-0.38078789277876973</v>
      </c>
      <c r="G171" s="198">
        <v>0.13123612362298864</v>
      </c>
      <c r="H171" s="197">
        <v>5.8013682579849197</v>
      </c>
      <c r="I171" s="197">
        <v>-0.50618890704356634</v>
      </c>
      <c r="J171" s="198">
        <v>6.3682716560858697E-3</v>
      </c>
    </row>
    <row r="172" spans="1:10">
      <c r="A172" s="196">
        <v>1</v>
      </c>
      <c r="B172">
        <v>17</v>
      </c>
      <c r="C172" s="196">
        <v>19</v>
      </c>
      <c r="D172" s="196">
        <v>51</v>
      </c>
      <c r="E172" s="197">
        <v>18.972419356308528</v>
      </c>
      <c r="F172" s="197">
        <v>0.93237417917185106</v>
      </c>
      <c r="G172" s="198">
        <v>1.1515976157661848E-2</v>
      </c>
      <c r="H172" s="197">
        <v>19.892096622975195</v>
      </c>
      <c r="I172" s="197">
        <v>0.91967726666666749</v>
      </c>
      <c r="J172" s="198">
        <v>1.7350052668957925E-2</v>
      </c>
    </row>
    <row r="173" spans="1:10">
      <c r="A173" s="196">
        <v>1</v>
      </c>
      <c r="B173">
        <v>17</v>
      </c>
      <c r="C173" s="196">
        <v>19</v>
      </c>
      <c r="D173" s="196">
        <v>52</v>
      </c>
      <c r="E173" s="197">
        <v>52.106137566137583</v>
      </c>
      <c r="F173" s="197">
        <v>-1.3643589879407472</v>
      </c>
      <c r="G173" s="198">
        <v>0.81682870748904857</v>
      </c>
      <c r="H173" s="197">
        <v>62.404754894054193</v>
      </c>
      <c r="I173" s="197">
        <v>19.764691471987767</v>
      </c>
      <c r="J173" s="198">
        <v>0.29569810114459738</v>
      </c>
    </row>
    <row r="174" spans="1:10">
      <c r="A174" s="196">
        <v>1</v>
      </c>
      <c r="B174">
        <v>17</v>
      </c>
      <c r="C174" s="196">
        <v>19</v>
      </c>
      <c r="D174" s="196">
        <v>54</v>
      </c>
      <c r="E174" s="197">
        <v>95.457042143801203</v>
      </c>
      <c r="F174" s="197">
        <v>0.67536137436278976</v>
      </c>
      <c r="G174" s="198">
        <v>0.77300603703563064</v>
      </c>
      <c r="H174" s="197">
        <v>96.598080976929253</v>
      </c>
      <c r="I174" s="197">
        <v>1.1410388331280501</v>
      </c>
      <c r="J174" s="198">
        <v>0.2095839391352633</v>
      </c>
    </row>
    <row r="175" spans="1:10">
      <c r="A175" s="196">
        <v>1</v>
      </c>
      <c r="B175">
        <v>17</v>
      </c>
      <c r="C175" s="196">
        <v>19</v>
      </c>
      <c r="D175" s="196">
        <v>55</v>
      </c>
      <c r="E175" s="197">
        <v>86.368250083481911</v>
      </c>
      <c r="F175" s="197">
        <v>0.67536137436278976</v>
      </c>
      <c r="G175" s="198">
        <v>0.77300603703563064</v>
      </c>
      <c r="H175" s="197">
        <v>83.388113075395438</v>
      </c>
      <c r="I175" s="197">
        <v>-3.4505006240209015</v>
      </c>
      <c r="J175" s="198">
        <v>0.33045337499497007</v>
      </c>
    </row>
    <row r="176" spans="1:10">
      <c r="A176" s="196">
        <v>1</v>
      </c>
      <c r="B176">
        <v>17</v>
      </c>
      <c r="C176" s="196">
        <v>19</v>
      </c>
      <c r="D176" s="196">
        <v>56</v>
      </c>
      <c r="E176" s="197">
        <v>5.7705781401613949</v>
      </c>
      <c r="F176" s="197">
        <v>-5.4666308476476938E-2</v>
      </c>
      <c r="G176" s="198">
        <v>0.7570174508784796</v>
      </c>
      <c r="H176" s="197">
        <v>5.6322083254448776</v>
      </c>
      <c r="I176" s="197">
        <v>-0.13836981471651733</v>
      </c>
      <c r="J176" s="198">
        <v>0.55215254825499871</v>
      </c>
    </row>
    <row r="177" spans="1:10">
      <c r="A177" s="196">
        <v>1</v>
      </c>
      <c r="B177">
        <v>18</v>
      </c>
      <c r="C177" s="196">
        <v>13</v>
      </c>
      <c r="D177" s="196">
        <v>51</v>
      </c>
      <c r="E177" s="197">
        <v>21.565482590065447</v>
      </c>
      <c r="F177" s="197">
        <v>0.10330354251011795</v>
      </c>
      <c r="G177" s="198">
        <v>2.6124355431280326E-4</v>
      </c>
      <c r="H177" s="197">
        <v>22.606676240065447</v>
      </c>
      <c r="I177" s="197">
        <v>1.0411936500000003</v>
      </c>
      <c r="J177" s="198">
        <v>2.0002990692148909E-2</v>
      </c>
    </row>
    <row r="178" spans="1:10">
      <c r="A178" s="196">
        <v>1</v>
      </c>
      <c r="B178">
        <v>18</v>
      </c>
      <c r="C178" s="196">
        <v>13</v>
      </c>
      <c r="D178" s="196">
        <v>52</v>
      </c>
      <c r="E178" s="197">
        <v>93.898888888888834</v>
      </c>
      <c r="F178" s="197">
        <v>-4.318586789554522</v>
      </c>
      <c r="G178" s="198">
        <v>0.63157215298445768</v>
      </c>
      <c r="H178" s="197">
        <v>107.44946521745155</v>
      </c>
      <c r="I178" s="197">
        <v>14.431029471069879</v>
      </c>
      <c r="J178" s="198">
        <v>0.40552072173793663</v>
      </c>
    </row>
    <row r="179" spans="1:10">
      <c r="A179" s="196">
        <v>1</v>
      </c>
      <c r="B179">
        <v>18</v>
      </c>
      <c r="C179" s="196">
        <v>13</v>
      </c>
      <c r="D179" s="196">
        <v>54</v>
      </c>
      <c r="E179" s="197">
        <v>76.381065772523755</v>
      </c>
      <c r="F179" s="197">
        <v>-0.19850658368934099</v>
      </c>
      <c r="G179" s="198">
        <v>0.83302302180359722</v>
      </c>
      <c r="H179" s="197">
        <v>67.722022640427099</v>
      </c>
      <c r="I179" s="197">
        <v>-8.6590431320966559</v>
      </c>
      <c r="J179" s="198">
        <v>2.674850744208895E-2</v>
      </c>
    </row>
    <row r="180" spans="1:10">
      <c r="A180" s="196">
        <v>1</v>
      </c>
      <c r="B180">
        <v>18</v>
      </c>
      <c r="C180" s="196">
        <v>13</v>
      </c>
      <c r="D180" s="196">
        <v>55</v>
      </c>
      <c r="E180" s="197">
        <v>96.049613195871601</v>
      </c>
      <c r="F180" s="197">
        <v>-0.19850658368934099</v>
      </c>
      <c r="G180" s="198">
        <v>0.83302302180359722</v>
      </c>
      <c r="H180" s="197">
        <v>97.748283249892424</v>
      </c>
      <c r="I180" s="197">
        <v>1.7685339872808983</v>
      </c>
      <c r="J180" s="198">
        <v>0.43737151174143019</v>
      </c>
    </row>
    <row r="181" spans="1:10">
      <c r="A181" s="196">
        <v>1</v>
      </c>
      <c r="B181">
        <v>18</v>
      </c>
      <c r="C181" s="196">
        <v>13</v>
      </c>
      <c r="D181" s="196">
        <v>56</v>
      </c>
      <c r="E181" s="197">
        <v>93.898888888888834</v>
      </c>
      <c r="F181" s="197">
        <v>-4.318586789554522</v>
      </c>
      <c r="G181" s="198">
        <v>0.63157215298445768</v>
      </c>
      <c r="H181" s="197">
        <v>4.7401569264416965</v>
      </c>
      <c r="I181" s="197">
        <v>-0.40623880722893535</v>
      </c>
      <c r="J181" s="198">
        <v>0.19073977367316719</v>
      </c>
    </row>
    <row r="182" spans="1:10">
      <c r="A182" s="196">
        <v>1</v>
      </c>
      <c r="B182">
        <v>18</v>
      </c>
      <c r="C182" s="196">
        <v>14</v>
      </c>
      <c r="D182" s="196">
        <v>51</v>
      </c>
      <c r="E182" s="197">
        <v>12.024419098387979</v>
      </c>
      <c r="F182" s="197">
        <v>0.50639086926573462</v>
      </c>
      <c r="G182" s="198">
        <v>7.3748060269916552E-2</v>
      </c>
      <c r="H182" s="197">
        <v>13.77153399838798</v>
      </c>
      <c r="I182" s="197">
        <v>1.7471149000000015</v>
      </c>
      <c r="J182" s="198">
        <v>2.1727160417809333E-5</v>
      </c>
    </row>
    <row r="183" spans="1:10">
      <c r="A183" s="196">
        <v>1</v>
      </c>
      <c r="B183">
        <v>18</v>
      </c>
      <c r="C183" s="196">
        <v>14</v>
      </c>
      <c r="D183" s="196">
        <v>52</v>
      </c>
      <c r="E183" s="197">
        <v>82.0865079365079</v>
      </c>
      <c r="F183" s="197">
        <v>11.455956353620422</v>
      </c>
      <c r="G183" s="198">
        <v>0.1381262239160429</v>
      </c>
      <c r="H183" s="197">
        <v>75.667399001253372</v>
      </c>
      <c r="I183" s="197">
        <v>-7.8199317970982145</v>
      </c>
      <c r="J183" s="198">
        <v>0.46454285730443701</v>
      </c>
    </row>
    <row r="184" spans="1:10">
      <c r="A184" s="196">
        <v>1</v>
      </c>
      <c r="B184">
        <v>18</v>
      </c>
      <c r="C184" s="196">
        <v>14</v>
      </c>
      <c r="D184" s="196">
        <v>54</v>
      </c>
      <c r="E184" s="197">
        <v>97.152322811151436</v>
      </c>
      <c r="F184" s="197">
        <v>3.519862299822397</v>
      </c>
      <c r="G184" s="198">
        <v>7.0266711764116502E-2</v>
      </c>
      <c r="H184" s="197">
        <v>98.013842380054811</v>
      </c>
      <c r="I184" s="197">
        <v>0.86151956890337544</v>
      </c>
      <c r="J184" s="198">
        <v>0.47802101850424861</v>
      </c>
    </row>
    <row r="185" spans="1:10">
      <c r="A185" s="196">
        <v>1</v>
      </c>
      <c r="B185">
        <v>18</v>
      </c>
      <c r="C185" s="196">
        <v>14</v>
      </c>
      <c r="D185" s="196">
        <v>55</v>
      </c>
      <c r="E185" s="197">
        <v>85.777993276729617</v>
      </c>
      <c r="F185" s="197">
        <v>3.519862299822397</v>
      </c>
      <c r="G185" s="198">
        <v>7.0266711764116502E-2</v>
      </c>
      <c r="H185" s="197">
        <v>83.195851981978663</v>
      </c>
      <c r="I185" s="197">
        <v>-3.0102607861443818</v>
      </c>
      <c r="J185" s="198">
        <v>0.35579073377745407</v>
      </c>
    </row>
    <row r="186" spans="1:10">
      <c r="A186" s="196">
        <v>1</v>
      </c>
      <c r="B186">
        <v>18</v>
      </c>
      <c r="C186" s="196">
        <v>14</v>
      </c>
      <c r="D186" s="196">
        <v>56</v>
      </c>
      <c r="E186" s="197">
        <v>82.0865079365079</v>
      </c>
      <c r="F186" s="197">
        <v>11.455956353620422</v>
      </c>
      <c r="G186" s="198">
        <v>0.1381262239160429</v>
      </c>
      <c r="H186" s="197">
        <v>5.7141997193544585</v>
      </c>
      <c r="I186" s="197">
        <v>-0.1174023920017877</v>
      </c>
      <c r="J186" s="198">
        <v>0.59110954616335731</v>
      </c>
    </row>
    <row r="187" spans="1:10">
      <c r="A187" s="196">
        <v>1</v>
      </c>
      <c r="B187">
        <v>18</v>
      </c>
      <c r="C187" s="196">
        <v>15</v>
      </c>
      <c r="D187" s="196">
        <v>51</v>
      </c>
      <c r="E187" s="197">
        <v>1.8233015869770732</v>
      </c>
      <c r="F187" s="197">
        <v>1.2853350279732672</v>
      </c>
      <c r="G187" s="198">
        <v>1.4336338268675657E-2</v>
      </c>
      <c r="H187" s="197">
        <v>3.2003384869770732</v>
      </c>
      <c r="I187" s="197">
        <v>1.3770369000000002</v>
      </c>
      <c r="J187" s="198">
        <v>1.1314841813404612E-2</v>
      </c>
    </row>
    <row r="188" spans="1:10">
      <c r="A188" s="196">
        <v>1</v>
      </c>
      <c r="B188">
        <v>18</v>
      </c>
      <c r="C188" s="196">
        <v>15</v>
      </c>
      <c r="D188" s="196">
        <v>52</v>
      </c>
      <c r="E188" s="197">
        <v>47.121111111111112</v>
      </c>
      <c r="F188" s="197">
        <v>3.7184914455214795</v>
      </c>
      <c r="G188" s="198">
        <v>0.50213798141530441</v>
      </c>
      <c r="H188" s="197">
        <v>55.227126049002123</v>
      </c>
      <c r="I188" s="197">
        <v>17.202512306590361</v>
      </c>
      <c r="J188" s="198">
        <v>0.13324485187547652</v>
      </c>
    </row>
    <row r="189" spans="1:10">
      <c r="A189" s="196">
        <v>1</v>
      </c>
      <c r="B189">
        <v>18</v>
      </c>
      <c r="C189" s="196">
        <v>15</v>
      </c>
      <c r="D189" s="196">
        <v>54</v>
      </c>
      <c r="E189" s="197">
        <v>85.898546619564343</v>
      </c>
      <c r="F189" s="197">
        <v>4.0952846485347463</v>
      </c>
      <c r="G189" s="198">
        <v>0.16369899502731733</v>
      </c>
      <c r="H189" s="197">
        <v>88.782901278203838</v>
      </c>
      <c r="I189" s="197">
        <v>2.884354658639495</v>
      </c>
      <c r="J189" s="198">
        <v>0.11869477941424778</v>
      </c>
    </row>
    <row r="190" spans="1:10">
      <c r="A190" s="196">
        <v>1</v>
      </c>
      <c r="B190">
        <v>18</v>
      </c>
      <c r="C190" s="196">
        <v>15</v>
      </c>
      <c r="D190" s="196">
        <v>55</v>
      </c>
      <c r="E190" s="197">
        <v>74.57005043921589</v>
      </c>
      <c r="F190" s="197">
        <v>4.0952846485347463</v>
      </c>
      <c r="G190" s="198">
        <v>0.16369899502731733</v>
      </c>
      <c r="H190" s="197">
        <v>79.743162938268711</v>
      </c>
      <c r="I190" s="197">
        <v>6.9372522461541939</v>
      </c>
      <c r="J190" s="198">
        <v>0.11968785605922672</v>
      </c>
    </row>
    <row r="191" spans="1:10">
      <c r="A191" s="196">
        <v>1</v>
      </c>
      <c r="B191">
        <v>18</v>
      </c>
      <c r="C191" s="196">
        <v>15</v>
      </c>
      <c r="D191" s="196">
        <v>56</v>
      </c>
      <c r="E191" s="197">
        <v>47.121111111111112</v>
      </c>
      <c r="F191" s="197">
        <v>3.7184914455214795</v>
      </c>
      <c r="G191" s="198">
        <v>0.50213798141530441</v>
      </c>
      <c r="H191" s="197">
        <v>3.5939750546168625</v>
      </c>
      <c r="I191" s="197">
        <v>0.36044352359628373</v>
      </c>
      <c r="J191" s="198">
        <v>6.9415655107866306E-2</v>
      </c>
    </row>
    <row r="192" spans="1:10">
      <c r="A192" s="196">
        <v>1</v>
      </c>
      <c r="B192">
        <v>18</v>
      </c>
      <c r="C192" s="196">
        <v>16</v>
      </c>
      <c r="D192" s="196">
        <v>51</v>
      </c>
      <c r="E192" s="197">
        <v>-3.5755323551896643</v>
      </c>
      <c r="F192" s="197">
        <v>0.25912455840199722</v>
      </c>
      <c r="G192" s="198">
        <v>0.53587063857754957</v>
      </c>
      <c r="H192" s="197">
        <v>-1.4137662549199208</v>
      </c>
      <c r="I192" s="197">
        <v>1.2</v>
      </c>
      <c r="J192" s="198">
        <v>0.01</v>
      </c>
    </row>
    <row r="193" spans="1:10">
      <c r="A193" s="196">
        <v>1</v>
      </c>
      <c r="B193">
        <v>18</v>
      </c>
      <c r="C193" s="196">
        <v>16</v>
      </c>
      <c r="D193" s="196">
        <v>52</v>
      </c>
      <c r="E193" s="197">
        <v>137.96952380952382</v>
      </c>
      <c r="F193" s="197">
        <v>7.727231315217983</v>
      </c>
      <c r="G193" s="198">
        <v>0.44504495021716228</v>
      </c>
      <c r="H193" s="197">
        <v>159.52500578137713</v>
      </c>
      <c r="I193" s="197">
        <v>15.623364766853953</v>
      </c>
      <c r="J193" s="198">
        <v>6.3419205290924902E-2</v>
      </c>
    </row>
    <row r="194" spans="1:10">
      <c r="A194" s="196">
        <v>1</v>
      </c>
      <c r="B194">
        <v>18</v>
      </c>
      <c r="C194" s="196">
        <v>16</v>
      </c>
      <c r="D194" s="196">
        <v>54</v>
      </c>
      <c r="E194" s="197">
        <v>88.497389018717385</v>
      </c>
      <c r="F194" s="197">
        <v>-0.83511652568092332</v>
      </c>
      <c r="G194" s="198">
        <v>0.18115193157383946</v>
      </c>
      <c r="H194" s="197">
        <v>89.366971161813893</v>
      </c>
      <c r="I194" s="197">
        <v>0.86958214309650828</v>
      </c>
      <c r="J194" s="198">
        <v>0.6835128144238547</v>
      </c>
    </row>
    <row r="195" spans="1:10">
      <c r="A195" s="196">
        <v>1</v>
      </c>
      <c r="B195">
        <v>18</v>
      </c>
      <c r="C195" s="196">
        <v>16</v>
      </c>
      <c r="D195" s="196">
        <v>55</v>
      </c>
      <c r="E195" s="197">
        <v>97.602510706638043</v>
      </c>
      <c r="F195" s="197">
        <v>-0.83511652568092332</v>
      </c>
      <c r="G195" s="198">
        <v>0.18115193157383946</v>
      </c>
      <c r="H195" s="197">
        <v>97.434135935372908</v>
      </c>
      <c r="I195" s="197">
        <v>-0.17251069674960676</v>
      </c>
      <c r="J195" s="198">
        <v>0.80099218817051088</v>
      </c>
    </row>
    <row r="196" spans="1:10">
      <c r="A196" s="196">
        <v>1</v>
      </c>
      <c r="B196">
        <v>18</v>
      </c>
      <c r="C196" s="196">
        <v>16</v>
      </c>
      <c r="D196" s="196">
        <v>56</v>
      </c>
      <c r="E196" s="197">
        <v>137.96952380952382</v>
      </c>
      <c r="F196" s="197">
        <v>7.727231315217983</v>
      </c>
      <c r="G196" s="198">
        <v>0.44504495021716228</v>
      </c>
      <c r="H196" s="197">
        <v>25.220615645727964</v>
      </c>
      <c r="I196" s="197">
        <v>7.727231315217983</v>
      </c>
      <c r="J196" s="198">
        <v>0.44504495021716228</v>
      </c>
    </row>
    <row r="197" spans="1:10">
      <c r="A197" s="196">
        <v>1</v>
      </c>
      <c r="B197">
        <v>18</v>
      </c>
      <c r="C197" s="196">
        <v>17</v>
      </c>
      <c r="D197" s="196">
        <v>51</v>
      </c>
      <c r="E197" s="197">
        <v>8.7213374292846417</v>
      </c>
      <c r="F197" s="197">
        <v>0.51531918883081551</v>
      </c>
      <c r="G197" s="198">
        <v>3.8182268024548341E-2</v>
      </c>
      <c r="H197" s="197">
        <v>9.5155904848401942</v>
      </c>
      <c r="I197" s="197">
        <v>0.79425305555555248</v>
      </c>
      <c r="J197" s="198">
        <v>2.5397033471702885E-3</v>
      </c>
    </row>
    <row r="198" spans="1:10">
      <c r="A198" s="196">
        <v>1</v>
      </c>
      <c r="B198">
        <v>18</v>
      </c>
      <c r="C198" s="196">
        <v>17</v>
      </c>
      <c r="D198" s="196">
        <v>52</v>
      </c>
      <c r="E198" s="197">
        <v>129.42730158730157</v>
      </c>
      <c r="F198" s="197">
        <v>8.2984056358917311</v>
      </c>
      <c r="G198" s="198">
        <v>0.26937650719388428</v>
      </c>
      <c r="H198" s="197">
        <v>131.84142201473392</v>
      </c>
      <c r="I198" s="197">
        <v>1.8652327583326602</v>
      </c>
      <c r="J198" s="198">
        <v>0.79768047099257233</v>
      </c>
    </row>
    <row r="199" spans="1:10">
      <c r="A199" s="196">
        <v>1</v>
      </c>
      <c r="B199">
        <v>18</v>
      </c>
      <c r="C199" s="196">
        <v>17</v>
      </c>
      <c r="D199" s="196">
        <v>54</v>
      </c>
      <c r="E199" s="197">
        <v>96.777158682775593</v>
      </c>
      <c r="F199" s="197">
        <v>0.11159822279311354</v>
      </c>
      <c r="G199" s="198">
        <v>0.83442845766293416</v>
      </c>
      <c r="H199" s="197">
        <v>92.159950457267996</v>
      </c>
      <c r="I199" s="197">
        <v>-4.6172082255075964</v>
      </c>
      <c r="J199" s="198">
        <v>5.1642209699915417E-3</v>
      </c>
    </row>
    <row r="200" spans="1:10">
      <c r="A200" s="196">
        <v>1</v>
      </c>
      <c r="B200">
        <v>18</v>
      </c>
      <c r="C200" s="196">
        <v>17</v>
      </c>
      <c r="D200" s="196">
        <v>55</v>
      </c>
      <c r="E200" s="197">
        <v>98.027123817573752</v>
      </c>
      <c r="F200" s="197">
        <v>0.11159822279311354</v>
      </c>
      <c r="G200" s="198">
        <v>0.83442845766293416</v>
      </c>
      <c r="H200" s="197">
        <v>98.258555701037622</v>
      </c>
      <c r="I200" s="197">
        <v>0.23608963973539127</v>
      </c>
      <c r="J200" s="198">
        <v>0.74525154651179681</v>
      </c>
    </row>
    <row r="201" spans="1:10">
      <c r="A201" s="196">
        <v>1</v>
      </c>
      <c r="B201">
        <v>18</v>
      </c>
      <c r="C201" s="196">
        <v>17</v>
      </c>
      <c r="D201" s="196">
        <v>56</v>
      </c>
      <c r="E201" s="197">
        <v>129.42730158730157</v>
      </c>
      <c r="F201" s="197">
        <v>8.2984056358917311</v>
      </c>
      <c r="G201" s="198">
        <v>0.26937650719388428</v>
      </c>
      <c r="H201" s="197">
        <v>32.574314386902472</v>
      </c>
      <c r="I201" s="197">
        <v>-1.5817487293377752</v>
      </c>
      <c r="J201" s="198">
        <v>1.6486677812129914E-2</v>
      </c>
    </row>
    <row r="202" spans="1:10">
      <c r="A202" s="196">
        <v>1</v>
      </c>
      <c r="B202">
        <v>18</v>
      </c>
      <c r="C202" s="196">
        <v>18</v>
      </c>
      <c r="D202" s="196">
        <v>51</v>
      </c>
      <c r="E202" s="197">
        <v>19.622492065883815</v>
      </c>
      <c r="F202" s="197">
        <v>0.52523439245598846</v>
      </c>
      <c r="G202" s="198">
        <v>0.17188211731321951</v>
      </c>
      <c r="H202" s="197">
        <v>20.673950765883816</v>
      </c>
      <c r="I202" s="197">
        <v>1.0514587000000013</v>
      </c>
      <c r="J202" s="198">
        <v>4.266021611834021E-3</v>
      </c>
    </row>
    <row r="203" spans="1:10">
      <c r="A203" s="196">
        <v>1</v>
      </c>
      <c r="B203">
        <v>18</v>
      </c>
      <c r="C203" s="196">
        <v>18</v>
      </c>
      <c r="D203" s="196">
        <v>52</v>
      </c>
      <c r="E203" s="197">
        <v>65.441111111111098</v>
      </c>
      <c r="F203" s="197">
        <v>-4.0686371100164216</v>
      </c>
      <c r="G203" s="198">
        <v>0.55700895617572521</v>
      </c>
      <c r="H203" s="197">
        <v>68.08035075617434</v>
      </c>
      <c r="I203" s="197">
        <v>4.0329994406453951</v>
      </c>
      <c r="J203" s="198">
        <v>0.72921845633115967</v>
      </c>
    </row>
    <row r="204" spans="1:10">
      <c r="A204" s="196">
        <v>1</v>
      </c>
      <c r="B204">
        <v>18</v>
      </c>
      <c r="C204" s="196">
        <v>18</v>
      </c>
      <c r="D204" s="196">
        <v>54</v>
      </c>
      <c r="E204" s="197">
        <v>83.617960839717909</v>
      </c>
      <c r="F204" s="197">
        <v>1.3915290930307933</v>
      </c>
      <c r="G204" s="198">
        <v>0.62069307035126808</v>
      </c>
      <c r="H204" s="197">
        <v>78.254582987918525</v>
      </c>
      <c r="I204" s="197">
        <v>-5.3633778517993846</v>
      </c>
      <c r="J204" s="198">
        <v>1.4795139576002024E-2</v>
      </c>
    </row>
    <row r="205" spans="1:10">
      <c r="A205" s="196">
        <v>1</v>
      </c>
      <c r="B205">
        <v>18</v>
      </c>
      <c r="C205" s="196">
        <v>18</v>
      </c>
      <c r="D205" s="196">
        <v>55</v>
      </c>
      <c r="E205" s="197">
        <v>85.077457791016528</v>
      </c>
      <c r="F205" s="197">
        <v>1.3915290930307933</v>
      </c>
      <c r="G205" s="198">
        <v>0.62069307035126808</v>
      </c>
      <c r="H205" s="197">
        <v>83.072186172297876</v>
      </c>
      <c r="I205" s="197">
        <v>-2.3569952262141949</v>
      </c>
      <c r="J205" s="198">
        <v>0.45825705533059602</v>
      </c>
    </row>
    <row r="206" spans="1:10">
      <c r="A206" s="196">
        <v>1</v>
      </c>
      <c r="B206">
        <v>18</v>
      </c>
      <c r="C206" s="196">
        <v>18</v>
      </c>
      <c r="D206" s="196">
        <v>56</v>
      </c>
      <c r="E206" s="197">
        <v>65.441111111111098</v>
      </c>
      <c r="F206" s="197">
        <v>-4.0686371100164216</v>
      </c>
      <c r="G206" s="198">
        <v>0.55700895617572521</v>
      </c>
      <c r="H206" s="197">
        <v>5.6996540260289255</v>
      </c>
      <c r="I206" s="197">
        <v>-0.62972715698736881</v>
      </c>
      <c r="J206" s="198">
        <v>6.9018866334911132E-3</v>
      </c>
    </row>
    <row r="207" spans="1:10">
      <c r="A207" s="196">
        <v>1</v>
      </c>
      <c r="B207">
        <v>18</v>
      </c>
      <c r="C207" s="196">
        <v>19</v>
      </c>
      <c r="D207" s="196">
        <v>51</v>
      </c>
      <c r="E207" s="197">
        <v>21.947350228334532</v>
      </c>
      <c r="F207" s="197">
        <v>0.96485068359582937</v>
      </c>
      <c r="G207" s="198">
        <v>1.6594253962800443E-2</v>
      </c>
      <c r="H207" s="197">
        <v>22.864138561667858</v>
      </c>
      <c r="I207" s="197">
        <v>0.91678833333332577</v>
      </c>
      <c r="J207" s="198">
        <v>3.7004214322099778E-2</v>
      </c>
    </row>
    <row r="208" spans="1:10">
      <c r="A208" s="196">
        <v>1</v>
      </c>
      <c r="B208">
        <v>18</v>
      </c>
      <c r="C208" s="196">
        <v>19</v>
      </c>
      <c r="D208" s="196">
        <v>52</v>
      </c>
      <c r="E208" s="197">
        <v>55.840476190476146</v>
      </c>
      <c r="F208" s="197">
        <v>-2.2287727104189665</v>
      </c>
      <c r="G208" s="198">
        <v>0.7715646739118327</v>
      </c>
      <c r="H208" s="197">
        <v>60.864740695727015</v>
      </c>
      <c r="I208" s="197">
        <v>8.9975316258276852</v>
      </c>
      <c r="J208" s="198">
        <v>0.65881820470776864</v>
      </c>
    </row>
    <row r="209" spans="1:10">
      <c r="A209" s="196">
        <v>1</v>
      </c>
      <c r="B209">
        <v>18</v>
      </c>
      <c r="C209" s="196">
        <v>19</v>
      </c>
      <c r="D209" s="196">
        <v>54</v>
      </c>
      <c r="E209" s="197">
        <v>94.626116141457985</v>
      </c>
      <c r="F209" s="197">
        <v>0.8339483598438584</v>
      </c>
      <c r="G209" s="198">
        <v>0.79521615459259831</v>
      </c>
      <c r="H209" s="197">
        <v>96.018497543191003</v>
      </c>
      <c r="I209" s="197">
        <v>1.3923814017330187</v>
      </c>
      <c r="J209" s="198">
        <v>0.22583823367588418</v>
      </c>
    </row>
    <row r="210" spans="1:10">
      <c r="A210" s="196">
        <v>1</v>
      </c>
      <c r="B210">
        <v>18</v>
      </c>
      <c r="C210" s="196">
        <v>19</v>
      </c>
      <c r="D210" s="196">
        <v>55</v>
      </c>
      <c r="E210" s="197">
        <v>84.364912315656952</v>
      </c>
      <c r="F210" s="197">
        <v>0.8339483598438584</v>
      </c>
      <c r="G210" s="198">
        <v>0.79521615459259831</v>
      </c>
      <c r="H210" s="197">
        <v>83.277212886535992</v>
      </c>
      <c r="I210" s="197">
        <v>-1.289279392659435</v>
      </c>
      <c r="J210" s="198">
        <v>0.75754812346584255</v>
      </c>
    </row>
    <row r="211" spans="1:10">
      <c r="A211" s="196">
        <v>1</v>
      </c>
      <c r="B211">
        <v>18</v>
      </c>
      <c r="C211" s="196">
        <v>19</v>
      </c>
      <c r="D211" s="196">
        <v>56</v>
      </c>
      <c r="E211" s="197">
        <v>55.840476190476146</v>
      </c>
      <c r="F211" s="197">
        <v>-2.2287727104189665</v>
      </c>
      <c r="G211" s="198">
        <v>0.7715646739118327</v>
      </c>
      <c r="H211" s="197">
        <v>5.5755547141210515</v>
      </c>
      <c r="I211" s="197">
        <v>-4.9676566086898077E-4</v>
      </c>
      <c r="J211" s="198">
        <v>0.99852671352414391</v>
      </c>
    </row>
    <row r="212" spans="1:10">
      <c r="A212" s="196">
        <v>1</v>
      </c>
      <c r="B212">
        <v>5</v>
      </c>
      <c r="C212" s="196">
        <v>13</v>
      </c>
      <c r="D212" s="196">
        <v>51</v>
      </c>
      <c r="E212" s="197">
        <v>18.619228493475145</v>
      </c>
      <c r="F212" s="197">
        <v>0.92567243017052803</v>
      </c>
      <c r="G212" s="198">
        <v>1.838158965571225E-4</v>
      </c>
      <c r="H212" s="197">
        <v>19.444042760141823</v>
      </c>
      <c r="I212" s="197">
        <v>0.82481426666667801</v>
      </c>
      <c r="J212" s="198">
        <v>4.6489913826930334E-3</v>
      </c>
    </row>
    <row r="213" spans="1:10">
      <c r="A213" s="196">
        <v>1</v>
      </c>
      <c r="B213">
        <v>5</v>
      </c>
      <c r="C213" s="196">
        <v>13</v>
      </c>
      <c r="D213" s="196">
        <v>52</v>
      </c>
      <c r="E213" s="197">
        <v>158.76733333333334</v>
      </c>
      <c r="F213" s="197">
        <v>-2.9010456062291472</v>
      </c>
      <c r="G213" s="198">
        <v>0.79279884734982153</v>
      </c>
      <c r="H213" s="197">
        <v>150.06412062980175</v>
      </c>
      <c r="I213" s="197">
        <v>-5.4817401796748246</v>
      </c>
      <c r="J213" s="198">
        <v>0.51234404661012767</v>
      </c>
    </row>
    <row r="214" spans="1:10">
      <c r="A214" s="196">
        <v>1</v>
      </c>
      <c r="B214">
        <v>5</v>
      </c>
      <c r="C214" s="196">
        <v>13</v>
      </c>
      <c r="D214" s="196">
        <v>54</v>
      </c>
      <c r="E214" s="197">
        <v>96.527730202215935</v>
      </c>
      <c r="F214" s="197">
        <v>8.9579419213433445E-2</v>
      </c>
      <c r="G214" s="198">
        <v>0.91161453232111767</v>
      </c>
      <c r="H214" s="197">
        <v>98.208976959003124</v>
      </c>
      <c r="I214" s="197">
        <v>1.6812467567871892</v>
      </c>
      <c r="J214" s="198">
        <v>0.11498222872077901</v>
      </c>
    </row>
    <row r="215" spans="1:10">
      <c r="A215" s="196">
        <v>1</v>
      </c>
      <c r="B215">
        <v>5</v>
      </c>
      <c r="C215" s="196">
        <v>13</v>
      </c>
      <c r="D215" s="196">
        <v>55</v>
      </c>
      <c r="E215" s="197">
        <v>97.447729398540062</v>
      </c>
      <c r="F215" s="197">
        <v>8.9579419213433445E-2</v>
      </c>
      <c r="G215" s="198">
        <v>0.91161453232111767</v>
      </c>
      <c r="H215" s="197">
        <v>98.407685173956011</v>
      </c>
      <c r="I215" s="197">
        <v>0.98509814578638233</v>
      </c>
      <c r="J215" s="198">
        <v>0.60436687349343676</v>
      </c>
    </row>
    <row r="216" spans="1:10">
      <c r="A216" s="196">
        <v>1</v>
      </c>
      <c r="B216">
        <v>5</v>
      </c>
      <c r="C216" s="196">
        <v>13</v>
      </c>
      <c r="D216" s="196">
        <v>56</v>
      </c>
      <c r="E216" s="197">
        <v>6.5831333744169021</v>
      </c>
      <c r="F216" s="197">
        <v>-0.21829759788584191</v>
      </c>
      <c r="G216" s="198">
        <v>1.9358303737367907E-2</v>
      </c>
      <c r="H216" s="197">
        <v>6.7465894946863596</v>
      </c>
      <c r="I216" s="197">
        <v>0.16345612026945755</v>
      </c>
      <c r="J216" s="198">
        <v>0.27066250584194695</v>
      </c>
    </row>
    <row r="217" spans="1:10">
      <c r="A217" s="196">
        <v>1</v>
      </c>
      <c r="B217">
        <v>5</v>
      </c>
      <c r="C217" s="196">
        <v>14</v>
      </c>
      <c r="D217" s="196">
        <v>51</v>
      </c>
      <c r="E217" s="197">
        <v>10.291172582555841</v>
      </c>
      <c r="F217" s="197">
        <v>0.13970972861630693</v>
      </c>
      <c r="G217" s="198">
        <v>0.49941570499125931</v>
      </c>
      <c r="H217" s="197">
        <v>11.814976182555842</v>
      </c>
      <c r="I217" s="197">
        <v>1.5238036000000008</v>
      </c>
      <c r="J217" s="198">
        <v>3.1920048208306126E-6</v>
      </c>
    </row>
    <row r="218" spans="1:10">
      <c r="A218" s="196">
        <v>1</v>
      </c>
      <c r="B218">
        <v>5</v>
      </c>
      <c r="C218" s="196">
        <v>14</v>
      </c>
      <c r="D218" s="196">
        <v>52</v>
      </c>
      <c r="E218" s="197">
        <v>101.02133333333336</v>
      </c>
      <c r="F218" s="197">
        <v>4.2886763070077887</v>
      </c>
      <c r="G218" s="198">
        <v>0.51359099421796306</v>
      </c>
      <c r="H218" s="197">
        <v>105.94774934149689</v>
      </c>
      <c r="I218" s="197">
        <v>4.8766095690978011</v>
      </c>
      <c r="J218" s="198">
        <v>0.55923306904080317</v>
      </c>
    </row>
    <row r="219" spans="1:10">
      <c r="A219" s="196">
        <v>1</v>
      </c>
      <c r="B219">
        <v>5</v>
      </c>
      <c r="C219" s="196">
        <v>14</v>
      </c>
      <c r="D219" s="196">
        <v>54</v>
      </c>
      <c r="E219" s="197">
        <v>92.231288464583884</v>
      </c>
      <c r="F219" s="197">
        <v>1.1252217317815809</v>
      </c>
      <c r="G219" s="198">
        <v>0.44473453420725406</v>
      </c>
      <c r="H219" s="197">
        <v>98.278381600521072</v>
      </c>
      <c r="I219" s="197">
        <v>6.0470931359371889</v>
      </c>
      <c r="J219" s="198">
        <v>1.5028051371578933E-5</v>
      </c>
    </row>
    <row r="220" spans="1:10">
      <c r="A220" s="196">
        <v>1</v>
      </c>
      <c r="B220">
        <v>5</v>
      </c>
      <c r="C220" s="196">
        <v>14</v>
      </c>
      <c r="D220" s="196">
        <v>55</v>
      </c>
      <c r="E220" s="197">
        <v>91.614407485233045</v>
      </c>
      <c r="F220" s="197">
        <v>1.1252217317815809</v>
      </c>
      <c r="G220" s="198">
        <v>0.44473453420725406</v>
      </c>
      <c r="H220" s="197">
        <v>91.798228278933863</v>
      </c>
      <c r="I220" s="197">
        <v>0.20064616335640034</v>
      </c>
      <c r="J220" s="198">
        <v>0.89850098898009922</v>
      </c>
    </row>
    <row r="221" spans="1:10">
      <c r="A221" s="196">
        <v>1</v>
      </c>
      <c r="B221">
        <v>5</v>
      </c>
      <c r="C221" s="196">
        <v>14</v>
      </c>
      <c r="D221" s="196">
        <v>56</v>
      </c>
      <c r="E221" s="197">
        <v>5.9145714366256996</v>
      </c>
      <c r="F221" s="197">
        <v>0.11071321260208662</v>
      </c>
      <c r="G221" s="198">
        <v>0.33740934902500141</v>
      </c>
      <c r="H221" s="197">
        <v>6.3185493498806551</v>
      </c>
      <c r="I221" s="197">
        <v>0.40397791325495547</v>
      </c>
      <c r="J221" s="198">
        <v>5.5239299000979887E-3</v>
      </c>
    </row>
    <row r="222" spans="1:10">
      <c r="A222" s="196">
        <v>1</v>
      </c>
      <c r="B222">
        <v>5</v>
      </c>
      <c r="C222" s="196">
        <v>15</v>
      </c>
      <c r="D222" s="196">
        <v>51</v>
      </c>
      <c r="E222" s="197">
        <v>1.8013333343830376</v>
      </c>
      <c r="F222" s="197">
        <v>1.1288008917133858</v>
      </c>
      <c r="G222" s="198">
        <v>3.5052187759424834E-2</v>
      </c>
      <c r="H222" s="197">
        <v>2.9959313343830374</v>
      </c>
      <c r="I222" s="197">
        <v>1.194598</v>
      </c>
      <c r="J222" s="198">
        <v>2.0865509439631936E-2</v>
      </c>
    </row>
    <row r="223" spans="1:10">
      <c r="A223" s="196">
        <v>1</v>
      </c>
      <c r="B223">
        <v>5</v>
      </c>
      <c r="C223" s="196">
        <v>15</v>
      </c>
      <c r="D223" s="196">
        <v>52</v>
      </c>
      <c r="E223" s="197">
        <v>44.957333333333331</v>
      </c>
      <c r="F223" s="197">
        <v>1.9436707452725257</v>
      </c>
      <c r="G223" s="198">
        <v>0.62428080531185848</v>
      </c>
      <c r="H223" s="197">
        <v>45.726277138194881</v>
      </c>
      <c r="I223" s="197">
        <v>1.7103857098468571</v>
      </c>
      <c r="J223" s="198">
        <v>0.83864245520339165</v>
      </c>
    </row>
    <row r="224" spans="1:10">
      <c r="A224" s="196">
        <v>1</v>
      </c>
      <c r="B224">
        <v>5</v>
      </c>
      <c r="C224" s="196">
        <v>15</v>
      </c>
      <c r="D224" s="196">
        <v>54</v>
      </c>
      <c r="E224" s="197">
        <v>86.251207660705262</v>
      </c>
      <c r="F224" s="197">
        <v>4.9077517815564029</v>
      </c>
      <c r="G224" s="198">
        <v>0.12290241231631016</v>
      </c>
      <c r="H224" s="197">
        <v>90.392020187232433</v>
      </c>
      <c r="I224" s="197">
        <v>4.1408125265271707</v>
      </c>
      <c r="J224" s="198">
        <v>4.7815551597047673E-2</v>
      </c>
    </row>
    <row r="225" spans="1:10">
      <c r="A225" s="196">
        <v>1</v>
      </c>
      <c r="B225">
        <v>5</v>
      </c>
      <c r="C225" s="196">
        <v>15</v>
      </c>
      <c r="D225" s="196">
        <v>55</v>
      </c>
      <c r="E225" s="197">
        <v>76.158330112402794</v>
      </c>
      <c r="F225" s="197">
        <v>4.9077517815564029</v>
      </c>
      <c r="G225" s="198">
        <v>0.12290241231631016</v>
      </c>
      <c r="H225" s="197">
        <v>76.65491816392219</v>
      </c>
      <c r="I225" s="197">
        <v>0.65204692748183779</v>
      </c>
      <c r="J225" s="198">
        <v>0.79631704527774616</v>
      </c>
    </row>
    <row r="226" spans="1:10">
      <c r="A226" s="196">
        <v>1</v>
      </c>
      <c r="B226">
        <v>5</v>
      </c>
      <c r="C226" s="196">
        <v>15</v>
      </c>
      <c r="D226" s="196">
        <v>56</v>
      </c>
      <c r="E226" s="197">
        <v>3.2792700193946103</v>
      </c>
      <c r="F226" s="197">
        <v>0.24371290773648227</v>
      </c>
      <c r="G226" s="198">
        <v>0.10536769827573929</v>
      </c>
      <c r="H226" s="197">
        <v>3.5076235010459027</v>
      </c>
      <c r="I226" s="197">
        <v>0.22835348165129243</v>
      </c>
      <c r="J226" s="198">
        <v>0.10530636441127283</v>
      </c>
    </row>
    <row r="227" spans="1:10">
      <c r="A227" s="196">
        <v>1</v>
      </c>
      <c r="B227">
        <v>5</v>
      </c>
      <c r="C227" s="196">
        <v>16</v>
      </c>
      <c r="D227" s="196">
        <v>51</v>
      </c>
      <c r="E227" s="197">
        <v>-3.0154784504231915</v>
      </c>
      <c r="F227" s="197">
        <v>0.42492592580099342</v>
      </c>
      <c r="G227" s="198">
        <v>0.40935797613799862</v>
      </c>
      <c r="H227" s="197">
        <v>-1.4137662549199208</v>
      </c>
      <c r="I227" s="197">
        <v>1.2</v>
      </c>
      <c r="J227" s="198">
        <v>0.01</v>
      </c>
    </row>
    <row r="228" spans="1:10">
      <c r="A228" s="196">
        <v>1</v>
      </c>
      <c r="B228">
        <v>5</v>
      </c>
      <c r="C228" s="196">
        <v>16</v>
      </c>
      <c r="D228" s="196">
        <v>52</v>
      </c>
      <c r="E228" s="197">
        <v>107.47333333333334</v>
      </c>
      <c r="F228" s="197">
        <v>1.4171301446051199</v>
      </c>
      <c r="G228" s="198">
        <v>0.77510837616763129</v>
      </c>
      <c r="H228" s="197">
        <v>118.43924133817904</v>
      </c>
      <c r="I228" s="197">
        <v>10.20337572561786</v>
      </c>
      <c r="J228" s="198">
        <v>0.10683944061933548</v>
      </c>
    </row>
    <row r="229" spans="1:10">
      <c r="A229" s="196">
        <v>1</v>
      </c>
      <c r="B229">
        <v>5</v>
      </c>
      <c r="C229" s="196">
        <v>16</v>
      </c>
      <c r="D229" s="196">
        <v>54</v>
      </c>
      <c r="E229" s="197">
        <v>90.055990768391894</v>
      </c>
      <c r="F229" s="197">
        <v>0.13645906347750458</v>
      </c>
      <c r="G229" s="198">
        <v>0.82189226265300908</v>
      </c>
      <c r="H229" s="197">
        <v>91.220179234662027</v>
      </c>
      <c r="I229" s="197">
        <v>1.1641884662701329</v>
      </c>
      <c r="J229" s="198">
        <v>0.51584237495775209</v>
      </c>
    </row>
    <row r="230" spans="1:10">
      <c r="A230" s="196">
        <v>1</v>
      </c>
      <c r="B230">
        <v>5</v>
      </c>
      <c r="C230" s="196">
        <v>16</v>
      </c>
      <c r="D230" s="196">
        <v>55</v>
      </c>
      <c r="E230" s="197">
        <v>96.596901460709816</v>
      </c>
      <c r="F230" s="197">
        <v>0.13645906347750458</v>
      </c>
      <c r="G230" s="198">
        <v>0.82189226265300908</v>
      </c>
      <c r="H230" s="197">
        <v>96.11501667363865</v>
      </c>
      <c r="I230" s="197">
        <v>-0.49886153674107953</v>
      </c>
      <c r="J230" s="198">
        <v>0.34823321195731838</v>
      </c>
    </row>
    <row r="231" spans="1:10">
      <c r="A231" s="196">
        <v>1</v>
      </c>
      <c r="B231">
        <v>5</v>
      </c>
      <c r="C231" s="196">
        <v>16</v>
      </c>
      <c r="D231" s="196">
        <v>56</v>
      </c>
      <c r="E231" s="197">
        <v>25.242999471139775</v>
      </c>
      <c r="F231" s="197">
        <v>0.7972362149603176</v>
      </c>
      <c r="G231" s="198">
        <v>0.35607013216536465</v>
      </c>
      <c r="H231" s="197">
        <v>25.431591675710127</v>
      </c>
      <c r="I231" s="197">
        <v>0.7972362149603176</v>
      </c>
      <c r="J231" s="198">
        <v>0.35607013216536465</v>
      </c>
    </row>
    <row r="232" spans="1:10">
      <c r="A232" s="196">
        <v>1</v>
      </c>
      <c r="B232">
        <v>5</v>
      </c>
      <c r="C232" s="196">
        <v>17</v>
      </c>
      <c r="D232" s="196">
        <v>51</v>
      </c>
      <c r="E232" s="197">
        <v>8.0475123055400513</v>
      </c>
      <c r="F232" s="197">
        <v>0.41931434725224548</v>
      </c>
      <c r="G232" s="198">
        <v>9.3792792169577255E-2</v>
      </c>
      <c r="H232" s="197">
        <v>8.7935143833178273</v>
      </c>
      <c r="I232" s="197">
        <v>0.74600207777777605</v>
      </c>
      <c r="J232" s="198">
        <v>4.5813116413050206E-3</v>
      </c>
    </row>
    <row r="233" spans="1:10">
      <c r="A233" s="196">
        <v>1</v>
      </c>
      <c r="B233">
        <v>5</v>
      </c>
      <c r="C233" s="196">
        <v>17</v>
      </c>
      <c r="D233" s="196">
        <v>52</v>
      </c>
      <c r="E233" s="197">
        <v>138.37100000000001</v>
      </c>
      <c r="F233" s="197">
        <v>10.314727474972196</v>
      </c>
      <c r="G233" s="198">
        <v>0.19130414955368369</v>
      </c>
      <c r="H233" s="197">
        <v>134.56736743399043</v>
      </c>
      <c r="I233" s="197">
        <v>-2.7488654168934152</v>
      </c>
      <c r="J233" s="198">
        <v>0.68007314834340948</v>
      </c>
    </row>
    <row r="234" spans="1:10">
      <c r="A234" s="196">
        <v>1</v>
      </c>
      <c r="B234">
        <v>5</v>
      </c>
      <c r="C234" s="196">
        <v>17</v>
      </c>
      <c r="D234" s="196">
        <v>54</v>
      </c>
      <c r="E234" s="197">
        <v>98.065346412344681</v>
      </c>
      <c r="F234" s="197">
        <v>0.45630426387798456</v>
      </c>
      <c r="G234" s="198">
        <v>0.26775788156505043</v>
      </c>
      <c r="H234" s="197">
        <v>95.485827206216527</v>
      </c>
      <c r="I234" s="197">
        <v>-2.579519206128154</v>
      </c>
      <c r="J234" s="198">
        <v>2.0870233493332072E-2</v>
      </c>
    </row>
    <row r="235" spans="1:10">
      <c r="A235" s="196">
        <v>1</v>
      </c>
      <c r="B235">
        <v>5</v>
      </c>
      <c r="C235" s="196">
        <v>17</v>
      </c>
      <c r="D235" s="196">
        <v>55</v>
      </c>
      <c r="E235" s="197">
        <v>98.499625043143666</v>
      </c>
      <c r="F235" s="197">
        <v>0.45630426387798456</v>
      </c>
      <c r="G235" s="198">
        <v>0.26775788156505043</v>
      </c>
      <c r="H235" s="197">
        <v>97.768666479960686</v>
      </c>
      <c r="I235" s="197">
        <v>-0.74209273676201204</v>
      </c>
      <c r="J235" s="198">
        <v>0.29985062052095379</v>
      </c>
    </row>
    <row r="236" spans="1:10">
      <c r="A236" s="196">
        <v>1</v>
      </c>
      <c r="B236">
        <v>5</v>
      </c>
      <c r="C236" s="196">
        <v>17</v>
      </c>
      <c r="D236" s="196">
        <v>56</v>
      </c>
      <c r="E236" s="197">
        <v>34.776504994871097</v>
      </c>
      <c r="F236" s="197">
        <v>0.21774798706916731</v>
      </c>
      <c r="G236" s="198">
        <v>0.46270107597163657</v>
      </c>
      <c r="H236" s="197">
        <v>33.5953203514308</v>
      </c>
      <c r="I236" s="197">
        <v>-1.1811846434402966</v>
      </c>
      <c r="J236" s="198">
        <v>9.5488155603744782E-3</v>
      </c>
    </row>
    <row r="237" spans="1:10">
      <c r="A237" s="196">
        <v>1</v>
      </c>
      <c r="B237">
        <v>5</v>
      </c>
      <c r="C237" s="196">
        <v>18</v>
      </c>
      <c r="D237" s="196">
        <v>51</v>
      </c>
      <c r="E237" s="197">
        <v>17.264177776124743</v>
      </c>
      <c r="F237" s="197">
        <v>0.52496254882416071</v>
      </c>
      <c r="G237" s="198">
        <v>7.294985659965772E-2</v>
      </c>
      <c r="H237" s="197">
        <v>18.289849709458068</v>
      </c>
      <c r="I237" s="197">
        <v>1.0256719333333262</v>
      </c>
      <c r="J237" s="198">
        <v>4.9655381913672346E-4</v>
      </c>
    </row>
    <row r="238" spans="1:10">
      <c r="A238" s="196">
        <v>1</v>
      </c>
      <c r="B238">
        <v>5</v>
      </c>
      <c r="C238" s="196">
        <v>18</v>
      </c>
      <c r="D238" s="196">
        <v>52</v>
      </c>
      <c r="E238" s="197">
        <v>85.969999999999985</v>
      </c>
      <c r="F238" s="197">
        <v>-13.296774193548387</v>
      </c>
      <c r="G238" s="198">
        <v>9.1458254296141919E-2</v>
      </c>
      <c r="H238" s="197">
        <v>93.384912245752048</v>
      </c>
      <c r="I238" s="197">
        <v>8.6249997042597091</v>
      </c>
      <c r="J238" s="198">
        <v>0.35537168804925323</v>
      </c>
    </row>
    <row r="239" spans="1:10">
      <c r="A239" s="196">
        <v>1</v>
      </c>
      <c r="B239">
        <v>5</v>
      </c>
      <c r="C239" s="196">
        <v>18</v>
      </c>
      <c r="D239" s="196">
        <v>54</v>
      </c>
      <c r="E239" s="197">
        <v>96.898123563873099</v>
      </c>
      <c r="F239" s="197">
        <v>5.6344559088396204</v>
      </c>
      <c r="G239" s="198">
        <v>0.12050395072675069</v>
      </c>
      <c r="H239" s="197">
        <v>96.899545251002777</v>
      </c>
      <c r="I239" s="197">
        <v>1.4216871296781619E-3</v>
      </c>
      <c r="J239" s="198">
        <v>0.99793628802527523</v>
      </c>
    </row>
    <row r="240" spans="1:10">
      <c r="A240" s="196">
        <v>1</v>
      </c>
      <c r="B240">
        <v>5</v>
      </c>
      <c r="C240" s="196">
        <v>18</v>
      </c>
      <c r="D240" s="196">
        <v>55</v>
      </c>
      <c r="E240" s="197">
        <v>76.398134375986871</v>
      </c>
      <c r="F240" s="197">
        <v>5.6344559088396204</v>
      </c>
      <c r="G240" s="198">
        <v>0.12050395072675069</v>
      </c>
      <c r="H240" s="197">
        <v>71.615375165326242</v>
      </c>
      <c r="I240" s="197">
        <v>-6.2603089063964417</v>
      </c>
      <c r="J240" s="198">
        <v>0.31591955294513319</v>
      </c>
    </row>
    <row r="241" spans="1:10">
      <c r="A241" s="196">
        <v>1</v>
      </c>
      <c r="B241">
        <v>5</v>
      </c>
      <c r="C241" s="196">
        <v>18</v>
      </c>
      <c r="D241" s="196">
        <v>56</v>
      </c>
      <c r="E241" s="197">
        <v>6.6501567166625879</v>
      </c>
      <c r="F241" s="197">
        <v>0.40239400676134313</v>
      </c>
      <c r="G241" s="198">
        <v>0.21425290000594877</v>
      </c>
      <c r="H241" s="197">
        <v>6.2448772476763059</v>
      </c>
      <c r="I241" s="197">
        <v>-0.40527946898628198</v>
      </c>
      <c r="J241" s="198">
        <v>0.30785676213451851</v>
      </c>
    </row>
    <row r="242" spans="1:10">
      <c r="A242" s="196">
        <v>1</v>
      </c>
      <c r="B242">
        <v>5</v>
      </c>
      <c r="C242" s="196">
        <v>19</v>
      </c>
      <c r="D242" s="196">
        <v>51</v>
      </c>
      <c r="E242" s="197">
        <v>19.092801076417331</v>
      </c>
      <c r="F242" s="197">
        <v>1.1077415783923963</v>
      </c>
      <c r="G242" s="198">
        <v>8.9222560664785008E-4</v>
      </c>
      <c r="H242" s="197">
        <v>19.597747909750666</v>
      </c>
      <c r="I242" s="197">
        <v>0.50494683333333512</v>
      </c>
      <c r="J242" s="198">
        <v>0.13271428077937031</v>
      </c>
    </row>
    <row r="243" spans="1:10">
      <c r="A243" s="196">
        <v>1</v>
      </c>
      <c r="B243">
        <v>5</v>
      </c>
      <c r="C243" s="196">
        <v>19</v>
      </c>
      <c r="D243" s="196">
        <v>52</v>
      </c>
      <c r="E243" s="197">
        <v>94.814000000000036</v>
      </c>
      <c r="F243" s="197">
        <v>-5.9030478309232439</v>
      </c>
      <c r="G243" s="198">
        <v>0.55657344538342068</v>
      </c>
      <c r="H243" s="197">
        <v>96.073506315915481</v>
      </c>
      <c r="I243" s="197">
        <v>1.3283969834786442</v>
      </c>
      <c r="J243" s="198">
        <v>0.9021759355457335</v>
      </c>
    </row>
    <row r="244" spans="1:10">
      <c r="A244" s="196">
        <v>1</v>
      </c>
      <c r="B244">
        <v>5</v>
      </c>
      <c r="C244" s="196">
        <v>19</v>
      </c>
      <c r="D244" s="196">
        <v>54</v>
      </c>
      <c r="E244" s="197">
        <v>89.740471790883376</v>
      </c>
      <c r="F244" s="197">
        <v>2.5283893271693936</v>
      </c>
      <c r="G244" s="198">
        <v>0.56753038975157877</v>
      </c>
      <c r="H244" s="197">
        <v>93.295345733074967</v>
      </c>
      <c r="I244" s="197">
        <v>3.5548739421915911</v>
      </c>
      <c r="J244" s="198">
        <v>0.11386982550261993</v>
      </c>
    </row>
    <row r="245" spans="1:10">
      <c r="A245" s="196">
        <v>1</v>
      </c>
      <c r="B245">
        <v>5</v>
      </c>
      <c r="C245" s="196">
        <v>19</v>
      </c>
      <c r="D245" s="196">
        <v>55</v>
      </c>
      <c r="E245" s="197">
        <v>67.352819960420021</v>
      </c>
      <c r="F245" s="197">
        <v>2.5283893271693936</v>
      </c>
      <c r="G245" s="198">
        <v>0.56753038975157877</v>
      </c>
      <c r="H245" s="197">
        <v>66.989485026075229</v>
      </c>
      <c r="I245" s="197">
        <v>-0.53945021835508244</v>
      </c>
      <c r="J245" s="198">
        <v>0.94358315658122771</v>
      </c>
    </row>
    <row r="246" spans="1:10">
      <c r="A246" s="196">
        <v>1</v>
      </c>
      <c r="B246">
        <v>5</v>
      </c>
      <c r="C246" s="196">
        <v>19</v>
      </c>
      <c r="D246" s="196">
        <v>56</v>
      </c>
      <c r="E246" s="197">
        <v>4.2875725824322375</v>
      </c>
      <c r="F246" s="197">
        <v>0.40319292471749574</v>
      </c>
      <c r="G246" s="198">
        <v>0.2079609580955547</v>
      </c>
      <c r="H246" s="197">
        <v>4.4062260201990728</v>
      </c>
      <c r="I246" s="197">
        <v>0.1186534377668349</v>
      </c>
      <c r="J246" s="198">
        <v>0.72654847909044262</v>
      </c>
    </row>
    <row r="247" spans="1:10">
      <c r="A247" s="196">
        <v>1</v>
      </c>
      <c r="B247">
        <v>19</v>
      </c>
      <c r="C247" s="196">
        <v>13</v>
      </c>
      <c r="D247" s="196">
        <v>51</v>
      </c>
      <c r="E247" s="197">
        <v>20.072150538044596</v>
      </c>
      <c r="F247" s="197">
        <v>7.6833373385726211E-2</v>
      </c>
      <c r="G247" s="198">
        <v>2.1724456569104667E-4</v>
      </c>
      <c r="H247" s="197">
        <v>21.081707054711263</v>
      </c>
      <c r="I247" s="197">
        <v>1.0095565166666667</v>
      </c>
      <c r="J247" s="198">
        <v>1.4440593067817124E-3</v>
      </c>
    </row>
    <row r="248" spans="1:10">
      <c r="A248" s="196">
        <v>1</v>
      </c>
      <c r="B248">
        <v>19</v>
      </c>
      <c r="C248" s="196">
        <v>13</v>
      </c>
      <c r="D248" s="196">
        <v>52</v>
      </c>
      <c r="E248" s="197">
        <v>170.1991666599798</v>
      </c>
      <c r="F248" s="197">
        <v>16.572480537585786</v>
      </c>
      <c r="G248" s="198">
        <v>0.12207954258820286</v>
      </c>
      <c r="H248" s="197">
        <v>170.2914344682716</v>
      </c>
      <c r="I248" s="197">
        <v>5.4211668660003078E-2</v>
      </c>
      <c r="J248" s="198">
        <v>0.99491599911484152</v>
      </c>
    </row>
    <row r="249" spans="1:10">
      <c r="A249" s="196">
        <v>1</v>
      </c>
      <c r="B249">
        <v>19</v>
      </c>
      <c r="C249" s="196">
        <v>13</v>
      </c>
      <c r="D249" s="196">
        <v>54</v>
      </c>
      <c r="E249" s="197">
        <v>90.007753713518568</v>
      </c>
      <c r="F249" s="197">
        <v>-1.5892165748036109</v>
      </c>
      <c r="G249" s="198">
        <v>4.9540986400426076E-2</v>
      </c>
      <c r="H249" s="197">
        <v>90.634977943729695</v>
      </c>
      <c r="I249" s="197">
        <v>0.62722423021112661</v>
      </c>
      <c r="J249" s="198">
        <v>0.57219203613302683</v>
      </c>
    </row>
    <row r="250" spans="1:10">
      <c r="A250" s="196">
        <v>1</v>
      </c>
      <c r="B250">
        <v>19</v>
      </c>
      <c r="C250" s="196">
        <v>13</v>
      </c>
      <c r="D250" s="196">
        <v>55</v>
      </c>
      <c r="E250" s="197">
        <v>96.838022807593177</v>
      </c>
      <c r="F250" s="197">
        <v>-1.5892165748036109</v>
      </c>
      <c r="G250" s="198">
        <v>4.9540986400426076E-2</v>
      </c>
      <c r="H250" s="197">
        <v>96.022760041568702</v>
      </c>
      <c r="I250" s="197">
        <v>-0.8418829116785258</v>
      </c>
      <c r="J250" s="198">
        <v>0.60371994333463586</v>
      </c>
    </row>
    <row r="251" spans="1:10">
      <c r="A251" s="196">
        <v>1</v>
      </c>
      <c r="B251">
        <v>19</v>
      </c>
      <c r="C251" s="196">
        <v>13</v>
      </c>
      <c r="D251" s="196">
        <v>56</v>
      </c>
      <c r="E251" s="197">
        <v>6.100390606092942</v>
      </c>
      <c r="F251" s="197">
        <v>-0.46245250935642562</v>
      </c>
      <c r="G251" s="198">
        <v>1.2386511543935002E-4</v>
      </c>
      <c r="H251" s="197">
        <v>5.9850199594205185</v>
      </c>
      <c r="I251" s="197">
        <v>-0.11537064667242358</v>
      </c>
      <c r="J251" s="198">
        <v>0.37050438452878043</v>
      </c>
    </row>
    <row r="252" spans="1:10">
      <c r="A252" s="196">
        <v>1</v>
      </c>
      <c r="B252">
        <v>19</v>
      </c>
      <c r="C252" s="196">
        <v>14</v>
      </c>
      <c r="D252" s="196">
        <v>51</v>
      </c>
      <c r="E252" s="197">
        <v>12.314433245373673</v>
      </c>
      <c r="F252" s="197">
        <v>-8.4726743820598707E-2</v>
      </c>
      <c r="G252" s="198">
        <v>0.69938124198218599</v>
      </c>
      <c r="H252" s="197">
        <v>13.740175595373673</v>
      </c>
      <c r="I252" s="197">
        <v>1.4257423500000002</v>
      </c>
      <c r="J252" s="198">
        <v>3.572151504709832E-5</v>
      </c>
    </row>
    <row r="253" spans="1:10">
      <c r="A253" s="196">
        <v>1</v>
      </c>
      <c r="B253">
        <v>19</v>
      </c>
      <c r="C253" s="196">
        <v>14</v>
      </c>
      <c r="D253" s="196">
        <v>52</v>
      </c>
      <c r="E253" s="197">
        <v>139.859083325152</v>
      </c>
      <c r="F253" s="197">
        <v>9.1190822803953395</v>
      </c>
      <c r="G253" s="198">
        <v>0.44839060714221113</v>
      </c>
      <c r="H253" s="197">
        <v>141.1550258137176</v>
      </c>
      <c r="I253" s="197">
        <v>0.92660587911385683</v>
      </c>
      <c r="J253" s="198">
        <v>0.93155968817339729</v>
      </c>
    </row>
    <row r="254" spans="1:10">
      <c r="A254" s="196">
        <v>1</v>
      </c>
      <c r="B254">
        <v>19</v>
      </c>
      <c r="C254" s="196">
        <v>14</v>
      </c>
      <c r="D254" s="196">
        <v>54</v>
      </c>
      <c r="E254" s="197">
        <v>98.493298728883843</v>
      </c>
      <c r="F254" s="197">
        <v>1.1132936148967596</v>
      </c>
      <c r="G254" s="198">
        <v>0.41469125780899985</v>
      </c>
      <c r="H254" s="197">
        <v>102.14240198887332</v>
      </c>
      <c r="I254" s="197">
        <v>3.6491032599894737</v>
      </c>
      <c r="J254" s="198">
        <v>3.8334840042841952E-4</v>
      </c>
    </row>
    <row r="255" spans="1:10">
      <c r="A255" s="196">
        <v>1</v>
      </c>
      <c r="B255">
        <v>19</v>
      </c>
      <c r="C255" s="196">
        <v>14</v>
      </c>
      <c r="D255" s="196">
        <v>55</v>
      </c>
      <c r="E255" s="197">
        <v>94.397079056978072</v>
      </c>
      <c r="F255" s="197">
        <v>1.1132936148967596</v>
      </c>
      <c r="G255" s="198">
        <v>0.41469125780899985</v>
      </c>
      <c r="H255" s="197">
        <v>98.240869071712297</v>
      </c>
      <c r="I255" s="197">
        <v>4.0719374509608715</v>
      </c>
      <c r="J255" s="198">
        <v>0.2866072629150993</v>
      </c>
    </row>
    <row r="256" spans="1:10">
      <c r="A256" s="196">
        <v>1</v>
      </c>
      <c r="B256">
        <v>19</v>
      </c>
      <c r="C256" s="196">
        <v>14</v>
      </c>
      <c r="D256" s="196">
        <v>56</v>
      </c>
      <c r="E256" s="197">
        <v>6.5084781194037324</v>
      </c>
      <c r="F256" s="197">
        <v>7.3074342469108849E-2</v>
      </c>
      <c r="G256" s="198">
        <v>0.45710956839035266</v>
      </c>
      <c r="H256" s="197">
        <v>7.1012450513104488</v>
      </c>
      <c r="I256" s="197">
        <v>0.59276693190671637</v>
      </c>
      <c r="J256" s="198">
        <v>1.6103711049437034E-2</v>
      </c>
    </row>
    <row r="257" spans="1:10">
      <c r="A257" s="196">
        <v>1</v>
      </c>
      <c r="B257">
        <v>19</v>
      </c>
      <c r="C257" s="196">
        <v>15</v>
      </c>
      <c r="D257" s="196">
        <v>51</v>
      </c>
      <c r="E257" s="197">
        <v>4.1708888889580136</v>
      </c>
      <c r="F257" s="197">
        <v>1.1532936369638949</v>
      </c>
      <c r="G257" s="198">
        <v>1.8704847505002842E-2</v>
      </c>
      <c r="H257" s="197">
        <v>4.9175958556246799</v>
      </c>
      <c r="I257" s="197">
        <v>0.74670696666666636</v>
      </c>
      <c r="J257" s="198">
        <v>8.9611998202252935E-2</v>
      </c>
    </row>
    <row r="258" spans="1:10">
      <c r="A258" s="196">
        <v>1</v>
      </c>
      <c r="B258">
        <v>19</v>
      </c>
      <c r="C258" s="196">
        <v>15</v>
      </c>
      <c r="D258" s="196">
        <v>52</v>
      </c>
      <c r="E258" s="197">
        <v>66.486166716460119</v>
      </c>
      <c r="F258" s="197">
        <v>7.931935563345748</v>
      </c>
      <c r="G258" s="198">
        <v>0.15332504277728243</v>
      </c>
      <c r="H258" s="197">
        <v>61.411097468803625</v>
      </c>
      <c r="I258" s="197">
        <v>-7.6332709468720967</v>
      </c>
      <c r="J258" s="198">
        <v>0.43284445929564852</v>
      </c>
    </row>
    <row r="259" spans="1:10">
      <c r="A259" s="196">
        <v>1</v>
      </c>
      <c r="B259">
        <v>19</v>
      </c>
      <c r="C259" s="196">
        <v>15</v>
      </c>
      <c r="D259" s="196">
        <v>54</v>
      </c>
      <c r="E259" s="197">
        <v>93.50999789397882</v>
      </c>
      <c r="F259" s="197">
        <v>3.4969975821070243</v>
      </c>
      <c r="G259" s="198">
        <v>0.14149607193340163</v>
      </c>
      <c r="H259" s="197">
        <v>91.733538132994539</v>
      </c>
      <c r="I259" s="197">
        <v>-1.7764597609842809</v>
      </c>
      <c r="J259" s="198">
        <v>0.15012805709320554</v>
      </c>
    </row>
    <row r="260" spans="1:10">
      <c r="A260" s="196">
        <v>1</v>
      </c>
      <c r="B260">
        <v>19</v>
      </c>
      <c r="C260" s="196">
        <v>15</v>
      </c>
      <c r="D260" s="196">
        <v>55</v>
      </c>
      <c r="E260" s="197">
        <v>86.388596063754932</v>
      </c>
      <c r="F260" s="197">
        <v>3.4969975821070243</v>
      </c>
      <c r="G260" s="198">
        <v>0.14149607193340163</v>
      </c>
      <c r="H260" s="197">
        <v>85.300419554501531</v>
      </c>
      <c r="I260" s="197">
        <v>-1.2596298109189377</v>
      </c>
      <c r="J260" s="198">
        <v>0.58384572385297195</v>
      </c>
    </row>
    <row r="261" spans="1:10">
      <c r="A261" s="196">
        <v>1</v>
      </c>
      <c r="B261">
        <v>19</v>
      </c>
      <c r="C261" s="196">
        <v>15</v>
      </c>
      <c r="D261" s="196">
        <v>56</v>
      </c>
      <c r="E261" s="197">
        <v>4.0457716044732761</v>
      </c>
      <c r="F261" s="197">
        <v>0.19196489282156529</v>
      </c>
      <c r="G261" s="198">
        <v>0.18080991263076618</v>
      </c>
      <c r="H261" s="197">
        <v>4.1871709547974145</v>
      </c>
      <c r="I261" s="197">
        <v>0.14139935032413842</v>
      </c>
      <c r="J261" s="198">
        <v>0.28917715576780234</v>
      </c>
    </row>
    <row r="262" spans="1:10">
      <c r="A262" s="196">
        <v>1</v>
      </c>
      <c r="B262">
        <v>19</v>
      </c>
      <c r="C262" s="196">
        <v>16</v>
      </c>
      <c r="D262" s="196">
        <v>51</v>
      </c>
      <c r="E262" s="197">
        <v>-1.1242712177506331</v>
      </c>
      <c r="F262" s="197">
        <v>0.5592244260655822</v>
      </c>
      <c r="G262" s="198">
        <v>0.16603879002962274</v>
      </c>
      <c r="H262" s="197">
        <v>-1.4137662549199208</v>
      </c>
      <c r="I262" s="197">
        <v>1.2</v>
      </c>
      <c r="J262" s="198">
        <v>0.01</v>
      </c>
    </row>
    <row r="263" spans="1:10">
      <c r="A263" s="196">
        <v>1</v>
      </c>
      <c r="B263">
        <v>19</v>
      </c>
      <c r="C263" s="196">
        <v>16</v>
      </c>
      <c r="D263" s="196">
        <v>52</v>
      </c>
      <c r="E263" s="197">
        <v>200.10725007710667</v>
      </c>
      <c r="F263" s="197">
        <v>7.8322748514741471</v>
      </c>
      <c r="G263" s="198">
        <v>0.46137063396547073</v>
      </c>
      <c r="H263" s="197">
        <v>223.93701600909995</v>
      </c>
      <c r="I263" s="197">
        <v>11.908497029873242</v>
      </c>
      <c r="J263" s="198">
        <v>5.4053233861164555E-2</v>
      </c>
    </row>
    <row r="264" spans="1:10">
      <c r="A264" s="196">
        <v>1</v>
      </c>
      <c r="B264">
        <v>19</v>
      </c>
      <c r="C264" s="196">
        <v>16</v>
      </c>
      <c r="D264" s="196">
        <v>54</v>
      </c>
      <c r="E264" s="197">
        <v>94.978074710188267</v>
      </c>
      <c r="F264" s="197">
        <v>8.265497545883278</v>
      </c>
      <c r="G264" s="198">
        <v>0.8827161384615142</v>
      </c>
      <c r="H264" s="197">
        <v>92.445324470881971</v>
      </c>
      <c r="I264" s="197">
        <v>-2.5327502393062957</v>
      </c>
      <c r="J264" s="198">
        <v>0.14817687935756685</v>
      </c>
    </row>
    <row r="265" spans="1:10">
      <c r="A265" s="196">
        <v>1</v>
      </c>
      <c r="B265">
        <v>19</v>
      </c>
      <c r="C265" s="196">
        <v>16</v>
      </c>
      <c r="D265" s="196">
        <v>55</v>
      </c>
      <c r="E265" s="197">
        <v>97.40795643764902</v>
      </c>
      <c r="F265" s="197">
        <v>8.265497545883278</v>
      </c>
      <c r="G265" s="198">
        <v>0.8827161384615142</v>
      </c>
      <c r="H265" s="197">
        <v>94.422335523156491</v>
      </c>
      <c r="I265" s="197">
        <v>-3.0650688338828163</v>
      </c>
      <c r="J265" s="198">
        <v>0.10107268956306659</v>
      </c>
    </row>
    <row r="266" spans="1:10">
      <c r="A266" s="196">
        <v>1</v>
      </c>
      <c r="B266">
        <v>19</v>
      </c>
      <c r="C266" s="196">
        <v>16</v>
      </c>
      <c r="D266" s="196">
        <v>56</v>
      </c>
      <c r="E266" s="197">
        <v>26.827341276369555</v>
      </c>
      <c r="F266" s="197">
        <v>0.30550266704734474</v>
      </c>
      <c r="G266" s="198">
        <v>0.46085004680203012</v>
      </c>
      <c r="H266" s="197">
        <v>26.345482213116945</v>
      </c>
      <c r="I266" s="197">
        <v>0.30550266704734474</v>
      </c>
      <c r="J266" s="198">
        <v>0.46085004680203012</v>
      </c>
    </row>
    <row r="267" spans="1:10">
      <c r="A267" s="196">
        <v>1</v>
      </c>
      <c r="B267">
        <v>19</v>
      </c>
      <c r="C267" s="196">
        <v>17</v>
      </c>
      <c r="D267" s="196">
        <v>51</v>
      </c>
      <c r="E267" s="197">
        <v>10.230442953242909</v>
      </c>
      <c r="F267" s="197">
        <v>0.30105104956208445</v>
      </c>
      <c r="G267" s="198">
        <v>0.19333509741332899</v>
      </c>
      <c r="H267" s="197">
        <v>10.958622586576242</v>
      </c>
      <c r="I267" s="197">
        <v>0.72817963333333324</v>
      </c>
      <c r="J267" s="198">
        <v>1.4086205589677334E-3</v>
      </c>
    </row>
    <row r="268" spans="1:10">
      <c r="A268" s="196">
        <v>1</v>
      </c>
      <c r="B268">
        <v>19</v>
      </c>
      <c r="C268" s="196">
        <v>17</v>
      </c>
      <c r="D268" s="196">
        <v>52</v>
      </c>
      <c r="E268" s="197">
        <v>197.0685555579968</v>
      </c>
      <c r="F268" s="197">
        <v>2.5692324610934056</v>
      </c>
      <c r="G268" s="198">
        <v>0.82856863681627257</v>
      </c>
      <c r="H268" s="197">
        <v>205.27063081771513</v>
      </c>
      <c r="I268" s="197">
        <v>4.162041598414457</v>
      </c>
      <c r="J268" s="198">
        <v>0.46602793060758041</v>
      </c>
    </row>
    <row r="269" spans="1:10">
      <c r="A269" s="196">
        <v>1</v>
      </c>
      <c r="B269">
        <v>19</v>
      </c>
      <c r="C269" s="196">
        <v>17</v>
      </c>
      <c r="D269" s="196">
        <v>54</v>
      </c>
      <c r="E269" s="197">
        <v>89.00626513971028</v>
      </c>
      <c r="F269" s="197">
        <v>-0.69100207077605247</v>
      </c>
      <c r="G269" s="198">
        <v>0.15417254459367291</v>
      </c>
      <c r="H269" s="197">
        <v>84.006376567691831</v>
      </c>
      <c r="I269" s="197">
        <v>-4.9998885720184489</v>
      </c>
      <c r="J269" s="198">
        <v>6.5206378669129125E-4</v>
      </c>
    </row>
    <row r="270" spans="1:10">
      <c r="A270" s="196">
        <v>1</v>
      </c>
      <c r="B270">
        <v>19</v>
      </c>
      <c r="C270" s="196">
        <v>17</v>
      </c>
      <c r="D270" s="196">
        <v>55</v>
      </c>
      <c r="E270" s="197">
        <v>98.252814514771941</v>
      </c>
      <c r="F270" s="197">
        <v>-0.69100207077605247</v>
      </c>
      <c r="G270" s="198">
        <v>0.15417254459367291</v>
      </c>
      <c r="H270" s="197">
        <v>96.857727730759663</v>
      </c>
      <c r="I270" s="197">
        <v>-1.4198949830618202</v>
      </c>
      <c r="J270" s="198">
        <v>0.20916163182788217</v>
      </c>
    </row>
    <row r="271" spans="1:10">
      <c r="A271" s="196">
        <v>1</v>
      </c>
      <c r="B271">
        <v>19</v>
      </c>
      <c r="C271" s="196">
        <v>17</v>
      </c>
      <c r="D271" s="196">
        <v>56</v>
      </c>
      <c r="E271" s="197">
        <v>31.480635446581012</v>
      </c>
      <c r="F271" s="197">
        <v>-1.2185821185658892</v>
      </c>
      <c r="G271" s="198">
        <v>4.5476199120203932E-2</v>
      </c>
      <c r="H271" s="197">
        <v>29.852965106893187</v>
      </c>
      <c r="I271" s="197">
        <v>-1.6276703396878247</v>
      </c>
      <c r="J271" s="198">
        <v>4.0887511511922894E-3</v>
      </c>
    </row>
    <row r="272" spans="1:10">
      <c r="A272" s="196">
        <v>1</v>
      </c>
      <c r="B272">
        <v>19</v>
      </c>
      <c r="C272" s="196">
        <v>18</v>
      </c>
      <c r="D272" s="196">
        <v>51</v>
      </c>
      <c r="E272" s="197">
        <v>18.447527776029371</v>
      </c>
      <c r="F272" s="197">
        <v>0.7144536270972337</v>
      </c>
      <c r="G272" s="198">
        <v>2.3261683613409797E-3</v>
      </c>
      <c r="H272" s="197">
        <v>19.50086794269604</v>
      </c>
      <c r="I272" s="197">
        <v>1.0533401666666666</v>
      </c>
      <c r="J272" s="198">
        <v>2.6747807877713554E-3</v>
      </c>
    </row>
    <row r="273" spans="1:10">
      <c r="A273" s="196">
        <v>1</v>
      </c>
      <c r="B273">
        <v>19</v>
      </c>
      <c r="C273" s="196">
        <v>18</v>
      </c>
      <c r="D273" s="196">
        <v>52</v>
      </c>
      <c r="E273" s="197">
        <v>86.420833306604337</v>
      </c>
      <c r="F273" s="197">
        <v>-8.7007829333172471E-2</v>
      </c>
      <c r="G273" s="198">
        <v>0.99037751106764171</v>
      </c>
      <c r="H273" s="197">
        <v>88.928571079814063</v>
      </c>
      <c r="I273" s="197">
        <v>2.9017745805722064</v>
      </c>
      <c r="J273" s="198">
        <v>0.75430719744174313</v>
      </c>
    </row>
    <row r="274" spans="1:10">
      <c r="A274" s="196">
        <v>1</v>
      </c>
      <c r="B274">
        <v>19</v>
      </c>
      <c r="C274" s="196">
        <v>18</v>
      </c>
      <c r="D274" s="196">
        <v>54</v>
      </c>
      <c r="E274" s="197">
        <v>93.522864339762378</v>
      </c>
      <c r="F274" s="197">
        <v>-0.29457420331082113</v>
      </c>
      <c r="G274" s="198">
        <v>0.92611192036122203</v>
      </c>
      <c r="H274" s="197">
        <v>92.43058103173415</v>
      </c>
      <c r="I274" s="197">
        <v>-1.0922833080282288</v>
      </c>
      <c r="J274" s="198">
        <v>0.1664588049270429</v>
      </c>
    </row>
    <row r="275" spans="1:10">
      <c r="A275" s="196">
        <v>1</v>
      </c>
      <c r="B275">
        <v>19</v>
      </c>
      <c r="C275" s="196">
        <v>18</v>
      </c>
      <c r="D275" s="196">
        <v>55</v>
      </c>
      <c r="E275" s="197">
        <v>76.395722185572154</v>
      </c>
      <c r="F275" s="197">
        <v>-0.29457420331082113</v>
      </c>
      <c r="G275" s="198">
        <v>0.92611192036122203</v>
      </c>
      <c r="H275" s="197">
        <v>74.875347405637683</v>
      </c>
      <c r="I275" s="197">
        <v>-1.9901307775340376</v>
      </c>
      <c r="J275" s="198">
        <v>0.74874753956545104</v>
      </c>
    </row>
    <row r="276" spans="1:10">
      <c r="A276" s="196">
        <v>1</v>
      </c>
      <c r="B276">
        <v>19</v>
      </c>
      <c r="C276" s="196">
        <v>18</v>
      </c>
      <c r="D276" s="196">
        <v>56</v>
      </c>
      <c r="E276" s="197">
        <v>6.4192456501792767</v>
      </c>
      <c r="F276" s="197">
        <v>-0.247715256630029</v>
      </c>
      <c r="G276" s="198">
        <v>0.35576796601174598</v>
      </c>
      <c r="H276" s="197">
        <v>6.1510080894971662</v>
      </c>
      <c r="I276" s="197">
        <v>-0.26823756068211058</v>
      </c>
      <c r="J276" s="198">
        <v>0.47934526070283534</v>
      </c>
    </row>
    <row r="277" spans="1:10">
      <c r="A277" s="196">
        <v>1</v>
      </c>
      <c r="B277">
        <v>19</v>
      </c>
      <c r="C277" s="196">
        <v>19</v>
      </c>
      <c r="D277" s="196">
        <v>51</v>
      </c>
      <c r="E277" s="197">
        <v>20.355403222473722</v>
      </c>
      <c r="F277" s="197">
        <v>0.7967834005955523</v>
      </c>
      <c r="G277" s="198">
        <v>6.5218148915529165E-3</v>
      </c>
      <c r="H277" s="197">
        <v>21.070618089140389</v>
      </c>
      <c r="I277" s="197">
        <v>0.71521486666666689</v>
      </c>
      <c r="J277" s="198">
        <v>4.841042494045112E-2</v>
      </c>
    </row>
    <row r="278" spans="1:10">
      <c r="A278" s="196">
        <v>1</v>
      </c>
      <c r="B278">
        <v>19</v>
      </c>
      <c r="C278" s="196">
        <v>19</v>
      </c>
      <c r="D278" s="196">
        <v>52</v>
      </c>
      <c r="E278" s="197">
        <v>91.456500013296804</v>
      </c>
      <c r="F278" s="197">
        <v>7.1862402858048942</v>
      </c>
      <c r="G278" s="198">
        <v>0.47101567920526644</v>
      </c>
      <c r="H278" s="197">
        <v>99.646444752400413</v>
      </c>
      <c r="I278" s="197">
        <v>8.9550165793714722</v>
      </c>
      <c r="J278" s="198">
        <v>0.4212080400883661</v>
      </c>
    </row>
    <row r="279" spans="1:10">
      <c r="A279" s="196">
        <v>1</v>
      </c>
      <c r="B279">
        <v>19</v>
      </c>
      <c r="C279" s="196">
        <v>19</v>
      </c>
      <c r="D279" s="196">
        <v>54</v>
      </c>
      <c r="E279" s="197">
        <v>95.283787353864</v>
      </c>
      <c r="F279" s="197">
        <v>-0.29457420331082113</v>
      </c>
      <c r="G279" s="198">
        <v>0.92611192036122203</v>
      </c>
      <c r="H279" s="197">
        <v>100.05376590466179</v>
      </c>
      <c r="I279" s="197">
        <v>4.7699785507977879</v>
      </c>
      <c r="J279" s="198">
        <v>2.8033097756584215E-2</v>
      </c>
    </row>
    <row r="280" spans="1:10">
      <c r="A280" s="196">
        <v>1</v>
      </c>
      <c r="B280">
        <v>19</v>
      </c>
      <c r="C280" s="196">
        <v>19</v>
      </c>
      <c r="D280" s="196">
        <v>55</v>
      </c>
      <c r="E280" s="197">
        <v>68.716442613663588</v>
      </c>
      <c r="F280" s="197">
        <v>-0.29457420331082113</v>
      </c>
      <c r="G280" s="198">
        <v>0.92611192036122203</v>
      </c>
      <c r="H280" s="197">
        <v>65.0215614465546</v>
      </c>
      <c r="I280" s="197">
        <v>-5.3769971590093588</v>
      </c>
      <c r="J280" s="198">
        <v>0.41856499156636251</v>
      </c>
    </row>
    <row r="281" spans="1:10">
      <c r="A281" s="196">
        <v>1</v>
      </c>
      <c r="B281">
        <v>19</v>
      </c>
      <c r="C281" s="196">
        <v>19</v>
      </c>
      <c r="D281" s="196">
        <v>56</v>
      </c>
      <c r="E281" s="197">
        <v>4.6056155242533459</v>
      </c>
      <c r="F281" s="197">
        <v>-0.12423550880972511</v>
      </c>
      <c r="G281" s="198">
        <v>0.71063147165963225</v>
      </c>
      <c r="H281" s="197">
        <v>4.5493800555824766</v>
      </c>
      <c r="I281" s="197">
        <v>-5.623546867086926E-2</v>
      </c>
      <c r="J281" s="198">
        <v>0.85942439921524938</v>
      </c>
    </row>
    <row r="282" spans="1:10">
      <c r="A282" s="196">
        <v>1</v>
      </c>
      <c r="B282">
        <v>22</v>
      </c>
      <c r="C282" s="196">
        <v>13</v>
      </c>
      <c r="D282" s="196">
        <v>51</v>
      </c>
      <c r="E282" s="197">
        <v>22.338531486895043</v>
      </c>
      <c r="F282" s="197">
        <v>9.4392840845890197E-2</v>
      </c>
      <c r="G282" s="198">
        <v>1.9328902051687921E-4</v>
      </c>
      <c r="H282" s="197">
        <v>23.375198320228375</v>
      </c>
      <c r="I282" s="197">
        <v>1.0366668333333315</v>
      </c>
      <c r="J282" s="198">
        <v>8.6485577942162131E-3</v>
      </c>
    </row>
    <row r="283" spans="1:10">
      <c r="A283" s="196">
        <v>1</v>
      </c>
      <c r="B283">
        <v>22</v>
      </c>
      <c r="C283" s="196">
        <v>13</v>
      </c>
      <c r="D283" s="196">
        <v>52</v>
      </c>
      <c r="E283" s="197">
        <v>88.872857142857114</v>
      </c>
      <c r="F283" s="197">
        <v>-5.7442555220086042</v>
      </c>
      <c r="G283" s="198">
        <v>0.62989929462100047</v>
      </c>
      <c r="H283" s="197">
        <v>90.83064076067393</v>
      </c>
      <c r="I283" s="197">
        <v>2.2029038794936207</v>
      </c>
      <c r="J283" s="198">
        <v>0.8939741507238631</v>
      </c>
    </row>
    <row r="284" spans="1:10">
      <c r="A284" s="196">
        <v>1</v>
      </c>
      <c r="B284">
        <v>22</v>
      </c>
      <c r="C284" s="196">
        <v>13</v>
      </c>
      <c r="D284" s="196">
        <v>54</v>
      </c>
      <c r="E284" s="197">
        <v>68.265771608627404</v>
      </c>
      <c r="F284" s="197">
        <v>-1.524120854267204</v>
      </c>
      <c r="G284" s="198">
        <v>0.18848382383846285</v>
      </c>
      <c r="H284" s="197">
        <v>47.022863129986845</v>
      </c>
      <c r="I284" s="197">
        <v>-31.117949710475241</v>
      </c>
      <c r="J284" s="198">
        <v>7.9161951650997299E-3</v>
      </c>
    </row>
    <row r="285" spans="1:10">
      <c r="A285" s="196">
        <v>1</v>
      </c>
      <c r="B285">
        <v>22</v>
      </c>
      <c r="C285" s="196">
        <v>13</v>
      </c>
      <c r="D285" s="196">
        <v>55</v>
      </c>
      <c r="E285" s="197">
        <v>93.875659332740682</v>
      </c>
      <c r="F285" s="197">
        <v>-1.524120854267204</v>
      </c>
      <c r="G285" s="198">
        <v>0.18848382383846285</v>
      </c>
      <c r="H285" s="197">
        <v>95.16325442439684</v>
      </c>
      <c r="I285" s="197">
        <v>1.371596323059955</v>
      </c>
      <c r="J285" s="198">
        <v>0.63394874890965691</v>
      </c>
    </row>
    <row r="286" spans="1:10">
      <c r="A286" s="196">
        <v>1</v>
      </c>
      <c r="B286">
        <v>22</v>
      </c>
      <c r="C286" s="196">
        <v>13</v>
      </c>
      <c r="D286" s="196">
        <v>56</v>
      </c>
      <c r="E286" s="197">
        <v>4.4978745825715922</v>
      </c>
      <c r="F286" s="197">
        <v>-0.76783465910406545</v>
      </c>
      <c r="G286" s="198">
        <v>1.0653968175971585E-4</v>
      </c>
      <c r="H286" s="197">
        <v>3.1933263909690854</v>
      </c>
      <c r="I286" s="197">
        <v>-29.003658675975153</v>
      </c>
      <c r="J286" s="198">
        <v>2.3267459017773235E-2</v>
      </c>
    </row>
    <row r="287" spans="1:10">
      <c r="A287" s="196">
        <v>1</v>
      </c>
      <c r="B287">
        <v>22</v>
      </c>
      <c r="C287" s="196">
        <v>14</v>
      </c>
      <c r="D287" s="196">
        <v>51</v>
      </c>
      <c r="E287" s="197">
        <v>13.144512800844208</v>
      </c>
      <c r="F287" s="197">
        <v>0.45580921924082746</v>
      </c>
      <c r="G287" s="198">
        <v>8.3012201868106469E-2</v>
      </c>
      <c r="H287" s="197">
        <v>14.858760100844206</v>
      </c>
      <c r="I287" s="197">
        <v>1.7142472999999985</v>
      </c>
      <c r="J287" s="198">
        <v>1.1381355525182031E-5</v>
      </c>
    </row>
    <row r="288" spans="1:10">
      <c r="A288" s="196">
        <v>1</v>
      </c>
      <c r="B288">
        <v>22</v>
      </c>
      <c r="C288" s="196">
        <v>14</v>
      </c>
      <c r="D288" s="196">
        <v>52</v>
      </c>
      <c r="E288" s="197">
        <v>73.760158730158722</v>
      </c>
      <c r="F288" s="197">
        <v>11.069982520260615</v>
      </c>
      <c r="G288" s="198">
        <v>0.15543175376558982</v>
      </c>
      <c r="H288" s="197">
        <v>70.725977858320192</v>
      </c>
      <c r="I288" s="197">
        <v>-4.1135769283505219</v>
      </c>
      <c r="J288" s="198">
        <v>0.70341164503707243</v>
      </c>
    </row>
    <row r="289" spans="1:10">
      <c r="A289" s="196">
        <v>1</v>
      </c>
      <c r="B289">
        <v>22</v>
      </c>
      <c r="C289" s="196">
        <v>14</v>
      </c>
      <c r="D289" s="196">
        <v>54</v>
      </c>
      <c r="E289" s="197">
        <v>97.644432531403353</v>
      </c>
      <c r="F289" s="197">
        <v>3.7261139599840929</v>
      </c>
      <c r="G289" s="198">
        <v>0.11375017396614107</v>
      </c>
      <c r="H289" s="197">
        <v>81.849249482971246</v>
      </c>
      <c r="I289" s="197">
        <v>-16.176224940784245</v>
      </c>
      <c r="J289" s="198">
        <v>6.8816436334022107E-3</v>
      </c>
    </row>
    <row r="290" spans="1:10">
      <c r="A290" s="196">
        <v>1</v>
      </c>
      <c r="B290">
        <v>22</v>
      </c>
      <c r="C290" s="196">
        <v>14</v>
      </c>
      <c r="D290" s="196">
        <v>55</v>
      </c>
      <c r="E290" s="197">
        <v>82.657989720625608</v>
      </c>
      <c r="F290" s="197">
        <v>3.7261139599840929</v>
      </c>
      <c r="G290" s="198">
        <v>0.11375017396614107</v>
      </c>
      <c r="H290" s="197">
        <v>81.285609745418867</v>
      </c>
      <c r="I290" s="197">
        <v>-1.6603113381358867</v>
      </c>
      <c r="J290" s="198">
        <v>0.60032446092203995</v>
      </c>
    </row>
    <row r="291" spans="1:10">
      <c r="A291" s="196">
        <v>1</v>
      </c>
      <c r="B291">
        <v>22</v>
      </c>
      <c r="C291" s="196">
        <v>14</v>
      </c>
      <c r="D291" s="196">
        <v>56</v>
      </c>
      <c r="E291" s="197">
        <v>5.651157400533684</v>
      </c>
      <c r="F291" s="197">
        <v>0.21843489500175328</v>
      </c>
      <c r="G291" s="198">
        <v>0.20082830159249909</v>
      </c>
      <c r="H291" s="197">
        <v>4.7284653134641434</v>
      </c>
      <c r="I291" s="197">
        <v>-16.327488719079085</v>
      </c>
      <c r="J291" s="198">
        <v>2.199081070310872E-2</v>
      </c>
    </row>
    <row r="292" spans="1:10">
      <c r="A292" s="196">
        <v>1</v>
      </c>
      <c r="B292">
        <v>22</v>
      </c>
      <c r="C292" s="196">
        <v>15</v>
      </c>
      <c r="D292" s="196">
        <v>51</v>
      </c>
      <c r="E292" s="197">
        <v>3.2485873035814565</v>
      </c>
      <c r="F292" s="197">
        <v>1.225695220663551</v>
      </c>
      <c r="G292" s="198">
        <v>2.3006772581774648E-2</v>
      </c>
      <c r="H292" s="197">
        <v>4.4360062702481216</v>
      </c>
      <c r="I292" s="197">
        <v>1.187418966666665</v>
      </c>
      <c r="J292" s="198">
        <v>1.3053898184087738E-2</v>
      </c>
    </row>
    <row r="293" spans="1:10">
      <c r="A293" s="196">
        <v>1</v>
      </c>
      <c r="B293">
        <v>22</v>
      </c>
      <c r="C293" s="196">
        <v>15</v>
      </c>
      <c r="D293" s="196">
        <v>52</v>
      </c>
      <c r="E293" s="197">
        <v>43.503650793650777</v>
      </c>
      <c r="F293" s="197">
        <v>0.31619259494676777</v>
      </c>
      <c r="G293" s="198">
        <v>0.95477307150783042</v>
      </c>
      <c r="H293" s="197">
        <v>50.569564284930131</v>
      </c>
      <c r="I293" s="197">
        <v>16.24211614973381</v>
      </c>
      <c r="J293" s="198">
        <v>0.20429342497924186</v>
      </c>
    </row>
    <row r="294" spans="1:10">
      <c r="A294" s="196">
        <v>1</v>
      </c>
      <c r="B294">
        <v>22</v>
      </c>
      <c r="C294" s="196">
        <v>15</v>
      </c>
      <c r="D294" s="196">
        <v>54</v>
      </c>
      <c r="E294" s="197">
        <v>91.341158966942402</v>
      </c>
      <c r="F294" s="197">
        <v>1.391450207364465</v>
      </c>
      <c r="G294" s="198">
        <v>0.62207939696630876</v>
      </c>
      <c r="H294" s="197">
        <v>24.125393096449827</v>
      </c>
      <c r="I294" s="197">
        <v>-73.587599096283483</v>
      </c>
      <c r="J294" s="198">
        <v>9.9603730607101607E-3</v>
      </c>
    </row>
    <row r="295" spans="1:10">
      <c r="A295" s="196">
        <v>1</v>
      </c>
      <c r="B295">
        <v>22</v>
      </c>
      <c r="C295" s="196">
        <v>15</v>
      </c>
      <c r="D295" s="196">
        <v>55</v>
      </c>
      <c r="E295" s="197">
        <v>71.784647211335283</v>
      </c>
      <c r="F295" s="197">
        <v>1.391450207364465</v>
      </c>
      <c r="G295" s="198">
        <v>0.62207939696630876</v>
      </c>
      <c r="H295" s="197">
        <v>75.709448658199904</v>
      </c>
      <c r="I295" s="197">
        <v>5.4674663724541688</v>
      </c>
      <c r="J295" s="198">
        <v>0.23008068911883717</v>
      </c>
    </row>
    <row r="296" spans="1:10">
      <c r="A296" s="196">
        <v>1</v>
      </c>
      <c r="B296">
        <v>22</v>
      </c>
      <c r="C296" s="196">
        <v>15</v>
      </c>
      <c r="D296" s="196">
        <v>56</v>
      </c>
      <c r="E296" s="197">
        <v>3.3130407144211125</v>
      </c>
      <c r="F296" s="197">
        <v>0.18055864434040725</v>
      </c>
      <c r="G296" s="198">
        <v>0.43094263704856905</v>
      </c>
      <c r="H296" s="197">
        <v>0.90375035169607143</v>
      </c>
      <c r="I296" s="197">
        <v>-72.721423320812292</v>
      </c>
      <c r="J296" s="198">
        <v>2.0441182558327574E-2</v>
      </c>
    </row>
    <row r="297" spans="1:10">
      <c r="A297" s="196">
        <v>1</v>
      </c>
      <c r="B297">
        <v>22</v>
      </c>
      <c r="C297" s="196">
        <v>16</v>
      </c>
      <c r="D297" s="196">
        <v>51</v>
      </c>
      <c r="E297" s="197">
        <v>-2.0164430511937237</v>
      </c>
      <c r="F297" s="197">
        <v>0.21118823496959055</v>
      </c>
      <c r="G297" s="198">
        <v>0.60845432269925948</v>
      </c>
      <c r="H297" s="197">
        <v>-1.4137662549199208</v>
      </c>
      <c r="I297" s="197">
        <v>1.2</v>
      </c>
      <c r="J297" s="198">
        <v>0.01</v>
      </c>
    </row>
    <row r="298" spans="1:10">
      <c r="A298" s="196">
        <v>1</v>
      </c>
      <c r="B298">
        <v>22</v>
      </c>
      <c r="C298" s="196">
        <v>16</v>
      </c>
      <c r="D298" s="196">
        <v>52</v>
      </c>
      <c r="E298" s="197">
        <v>121.3133333333333</v>
      </c>
      <c r="F298" s="197">
        <v>5.5942157953281013</v>
      </c>
      <c r="G298" s="198">
        <v>0.54957361214452849</v>
      </c>
      <c r="H298" s="197">
        <v>138.31565999760807</v>
      </c>
      <c r="I298" s="197">
        <v>14.015216792005361</v>
      </c>
      <c r="J298" s="198">
        <v>8.9879110330307627E-2</v>
      </c>
    </row>
    <row r="299" spans="1:10">
      <c r="A299" s="196">
        <v>1</v>
      </c>
      <c r="B299">
        <v>22</v>
      </c>
      <c r="C299" s="196">
        <v>16</v>
      </c>
      <c r="D299" s="196">
        <v>54</v>
      </c>
      <c r="E299" s="197">
        <v>94.482948448339812</v>
      </c>
      <c r="F299" s="197">
        <v>-0.14498212563197896</v>
      </c>
      <c r="G299" s="198">
        <v>0.84665717898475912</v>
      </c>
      <c r="H299" s="197">
        <v>50.538388786351355</v>
      </c>
      <c r="I299" s="197">
        <v>-46.510571890139424</v>
      </c>
      <c r="J299" s="198">
        <v>1.2511632801889482E-2</v>
      </c>
    </row>
    <row r="300" spans="1:10">
      <c r="A300" s="196">
        <v>1</v>
      </c>
      <c r="B300">
        <v>22</v>
      </c>
      <c r="C300" s="196">
        <v>16</v>
      </c>
      <c r="D300" s="196">
        <v>55</v>
      </c>
      <c r="E300" s="197">
        <v>96.578337523880364</v>
      </c>
      <c r="F300" s="197">
        <v>-0.14498212563197896</v>
      </c>
      <c r="G300" s="198">
        <v>0.84665717898475912</v>
      </c>
      <c r="H300" s="197">
        <v>96.800675164081326</v>
      </c>
      <c r="I300" s="197">
        <v>0.23021481410982658</v>
      </c>
      <c r="J300" s="198">
        <v>0.74957059018698513</v>
      </c>
    </row>
    <row r="301" spans="1:10">
      <c r="A301" s="196">
        <v>1</v>
      </c>
      <c r="B301">
        <v>22</v>
      </c>
      <c r="C301" s="196">
        <v>16</v>
      </c>
      <c r="D301" s="196">
        <v>56</v>
      </c>
      <c r="E301" s="197">
        <v>26.447653517642578</v>
      </c>
      <c r="F301" s="197">
        <v>0.29256923037619487</v>
      </c>
      <c r="G301" s="198">
        <v>0.52951615258361406</v>
      </c>
      <c r="H301" s="197">
        <v>15.118994414645869</v>
      </c>
      <c r="I301" s="197">
        <v>0.29256923037619487</v>
      </c>
      <c r="J301" s="198">
        <v>0.52951615258361406</v>
      </c>
    </row>
    <row r="302" spans="1:10">
      <c r="A302" s="196">
        <v>1</v>
      </c>
      <c r="B302">
        <v>22</v>
      </c>
      <c r="C302" s="196">
        <v>17</v>
      </c>
      <c r="D302" s="196">
        <v>51</v>
      </c>
      <c r="E302" s="197">
        <v>9.3682044721646722</v>
      </c>
      <c r="F302" s="197">
        <v>0.52457530710696643</v>
      </c>
      <c r="G302" s="198">
        <v>4.4059257186010344E-2</v>
      </c>
      <c r="H302" s="197">
        <v>10.202522227720229</v>
      </c>
      <c r="I302" s="197">
        <v>0.83431775555555632</v>
      </c>
      <c r="J302" s="198">
        <v>3.2917539634116276E-4</v>
      </c>
    </row>
    <row r="303" spans="1:10">
      <c r="A303" s="196">
        <v>1</v>
      </c>
      <c r="B303">
        <v>22</v>
      </c>
      <c r="C303" s="196">
        <v>17</v>
      </c>
      <c r="D303" s="196">
        <v>52</v>
      </c>
      <c r="E303" s="197">
        <v>119.22523809523805</v>
      </c>
      <c r="F303" s="197">
        <v>5.8530748450659855</v>
      </c>
      <c r="G303" s="198">
        <v>0.47750684345473282</v>
      </c>
      <c r="H303" s="197">
        <v>124.19611809436476</v>
      </c>
      <c r="I303" s="197">
        <v>4.1693185759511211</v>
      </c>
      <c r="J303" s="198">
        <v>0.59096469898571102</v>
      </c>
    </row>
    <row r="304" spans="1:10">
      <c r="A304" s="196">
        <v>1</v>
      </c>
      <c r="B304">
        <v>22</v>
      </c>
      <c r="C304" s="196">
        <v>17</v>
      </c>
      <c r="D304" s="196">
        <v>54</v>
      </c>
      <c r="E304" s="197">
        <v>93.974047416860316</v>
      </c>
      <c r="F304" s="197">
        <v>0.30953259481116402</v>
      </c>
      <c r="G304" s="198">
        <v>0.66558052610965412</v>
      </c>
      <c r="H304" s="197">
        <v>34.070206141495049</v>
      </c>
      <c r="I304" s="197">
        <v>-63.745090183928419</v>
      </c>
      <c r="J304" s="198">
        <v>1.6509426358065652E-3</v>
      </c>
    </row>
    <row r="305" spans="1:10">
      <c r="A305" s="196">
        <v>1</v>
      </c>
      <c r="B305">
        <v>22</v>
      </c>
      <c r="C305" s="196">
        <v>17</v>
      </c>
      <c r="D305" s="196">
        <v>55</v>
      </c>
      <c r="E305" s="197">
        <v>97.07277862404959</v>
      </c>
      <c r="F305" s="197">
        <v>0.30953259481116402</v>
      </c>
      <c r="G305" s="198">
        <v>0.66558052610965412</v>
      </c>
      <c r="H305" s="197">
        <v>97.282338269189339</v>
      </c>
      <c r="I305" s="197">
        <v>0.21587889839987467</v>
      </c>
      <c r="J305" s="198">
        <v>0.82345106055180717</v>
      </c>
    </row>
    <row r="306" spans="1:10">
      <c r="A306" s="196">
        <v>1</v>
      </c>
      <c r="B306">
        <v>22</v>
      </c>
      <c r="C306" s="196">
        <v>17</v>
      </c>
      <c r="D306" s="196">
        <v>56</v>
      </c>
      <c r="E306" s="197">
        <v>32.864348804457094</v>
      </c>
      <c r="F306" s="197">
        <v>-0.29845063349566558</v>
      </c>
      <c r="G306" s="198">
        <v>0.56227951194209169</v>
      </c>
      <c r="H306" s="197">
        <v>11.787929533239183</v>
      </c>
      <c r="I306" s="197">
        <v>-64.131559084351935</v>
      </c>
      <c r="J306" s="198">
        <v>1.7202204750351514E-3</v>
      </c>
    </row>
    <row r="307" spans="1:10">
      <c r="A307" s="196">
        <v>1</v>
      </c>
      <c r="B307">
        <v>22</v>
      </c>
      <c r="C307" s="196">
        <v>18</v>
      </c>
      <c r="D307" s="196">
        <v>51</v>
      </c>
      <c r="E307" s="197">
        <v>20.26607936450414</v>
      </c>
      <c r="F307" s="197">
        <v>0.54500873917662596</v>
      </c>
      <c r="G307" s="198">
        <v>0.1004976056540593</v>
      </c>
      <c r="H307" s="197">
        <v>21.297937831170817</v>
      </c>
      <c r="I307" s="197">
        <v>1.0318584666666766</v>
      </c>
      <c r="J307" s="198">
        <v>1.7852081520612071E-3</v>
      </c>
    </row>
    <row r="308" spans="1:10">
      <c r="A308" s="196">
        <v>1</v>
      </c>
      <c r="B308">
        <v>22</v>
      </c>
      <c r="C308" s="196">
        <v>18</v>
      </c>
      <c r="D308" s="196">
        <v>52</v>
      </c>
      <c r="E308" s="197">
        <v>59.282063492063465</v>
      </c>
      <c r="F308" s="197">
        <v>-3.4682663276656571</v>
      </c>
      <c r="G308" s="198">
        <v>0.61579518552941492</v>
      </c>
      <c r="H308" s="197">
        <v>64.001774750418491</v>
      </c>
      <c r="I308" s="197">
        <v>7.9614490122917037</v>
      </c>
      <c r="J308" s="198">
        <v>0.58115512383847534</v>
      </c>
    </row>
    <row r="309" spans="1:10">
      <c r="A309" s="196">
        <v>1</v>
      </c>
      <c r="B309">
        <v>22</v>
      </c>
      <c r="C309" s="196">
        <v>18</v>
      </c>
      <c r="D309" s="196">
        <v>54</v>
      </c>
      <c r="E309" s="197">
        <v>78.853716761425275</v>
      </c>
      <c r="F309" s="197">
        <v>1.5988735070807547</v>
      </c>
      <c r="G309" s="198">
        <v>0.5459795488111201</v>
      </c>
      <c r="H309" s="197">
        <v>118.36520036973567</v>
      </c>
      <c r="I309" s="197">
        <v>50.107319262900184</v>
      </c>
      <c r="J309" s="198">
        <v>2.4394137351657764E-3</v>
      </c>
    </row>
    <row r="310" spans="1:10">
      <c r="A310" s="196">
        <v>1</v>
      </c>
      <c r="B310">
        <v>22</v>
      </c>
      <c r="C310" s="196">
        <v>18</v>
      </c>
      <c r="D310" s="196">
        <v>55</v>
      </c>
      <c r="E310" s="197">
        <v>87.206195284815763</v>
      </c>
      <c r="F310" s="197">
        <v>1.5988735070807547</v>
      </c>
      <c r="G310" s="198">
        <v>0.5459795488111201</v>
      </c>
      <c r="H310" s="197">
        <v>85.308290196541563</v>
      </c>
      <c r="I310" s="197">
        <v>-2.1763420386311201</v>
      </c>
      <c r="J310" s="198">
        <v>0.27766314341068488</v>
      </c>
    </row>
    <row r="311" spans="1:10">
      <c r="A311" s="196">
        <v>1</v>
      </c>
      <c r="B311">
        <v>22</v>
      </c>
      <c r="C311" s="196">
        <v>18</v>
      </c>
      <c r="D311" s="196">
        <v>56</v>
      </c>
      <c r="E311" s="197">
        <v>6.1075471870564426</v>
      </c>
      <c r="F311" s="197">
        <v>-0.37162353915088425</v>
      </c>
      <c r="G311" s="198">
        <v>0.15688597542788629</v>
      </c>
      <c r="H311" s="197">
        <v>8.9807678977021901</v>
      </c>
      <c r="I311" s="197">
        <v>47.043774245983506</v>
      </c>
      <c r="J311" s="198">
        <v>6.5572737434975714E-3</v>
      </c>
    </row>
    <row r="312" spans="1:10">
      <c r="A312" s="196">
        <v>1</v>
      </c>
      <c r="B312">
        <v>22</v>
      </c>
      <c r="C312" s="196">
        <v>19</v>
      </c>
      <c r="D312" s="196">
        <v>51</v>
      </c>
      <c r="E312" s="197">
        <v>22.66977419369487</v>
      </c>
      <c r="F312" s="197">
        <v>0.84301727936495607</v>
      </c>
      <c r="G312" s="198">
        <v>1.6622088407948724E-2</v>
      </c>
      <c r="H312" s="197">
        <v>23.53286389369487</v>
      </c>
      <c r="I312" s="197">
        <v>0.86308969999999974</v>
      </c>
      <c r="J312" s="198">
        <v>2.744710565219774E-2</v>
      </c>
    </row>
    <row r="313" spans="1:10">
      <c r="A313" s="196">
        <v>1</v>
      </c>
      <c r="B313">
        <v>22</v>
      </c>
      <c r="C313" s="196">
        <v>19</v>
      </c>
      <c r="D313" s="196">
        <v>52</v>
      </c>
      <c r="E313" s="197">
        <v>51.635714285714307</v>
      </c>
      <c r="F313" s="197">
        <v>-6.8188463372000738</v>
      </c>
      <c r="G313" s="198">
        <v>0.35053774367119983</v>
      </c>
      <c r="H313" s="197">
        <v>60.433256994388486</v>
      </c>
      <c r="I313" s="197">
        <v>17.037708939194705</v>
      </c>
      <c r="J313" s="198">
        <v>0.45000480939258669</v>
      </c>
    </row>
    <row r="314" spans="1:10">
      <c r="A314" s="196">
        <v>1</v>
      </c>
      <c r="B314">
        <v>22</v>
      </c>
      <c r="C314" s="196">
        <v>19</v>
      </c>
      <c r="D314" s="196">
        <v>54</v>
      </c>
      <c r="E314" s="197">
        <v>94.4739567108995</v>
      </c>
      <c r="F314" s="197">
        <v>2.7707998114985828</v>
      </c>
      <c r="G314" s="198">
        <v>0.3535466287562915</v>
      </c>
      <c r="H314" s="197">
        <v>57.546041234273936</v>
      </c>
      <c r="I314" s="197">
        <v>-39.087931491669146</v>
      </c>
      <c r="J314" s="198">
        <v>3.5277066880874439E-2</v>
      </c>
    </row>
    <row r="315" spans="1:10">
      <c r="A315" s="196">
        <v>1</v>
      </c>
      <c r="B315">
        <v>22</v>
      </c>
      <c r="C315" s="196">
        <v>19</v>
      </c>
      <c r="D315" s="196">
        <v>55</v>
      </c>
      <c r="E315" s="197">
        <v>86.014827569150839</v>
      </c>
      <c r="F315" s="197">
        <v>2.7707998114985828</v>
      </c>
      <c r="G315" s="198">
        <v>0.3535466287562915</v>
      </c>
      <c r="H315" s="197">
        <v>84.910286062699058</v>
      </c>
      <c r="I315" s="197">
        <v>-1.2841291875680336</v>
      </c>
      <c r="J315" s="198">
        <v>0.61672441116655152</v>
      </c>
    </row>
    <row r="316" spans="1:10">
      <c r="A316" s="196">
        <v>1</v>
      </c>
      <c r="B316">
        <v>22</v>
      </c>
      <c r="C316" s="196">
        <v>19</v>
      </c>
      <c r="D316" s="196">
        <v>56</v>
      </c>
      <c r="E316" s="197">
        <v>5.6717083482432002</v>
      </c>
      <c r="F316" s="197">
        <v>-1.0620579155055716E-2</v>
      </c>
      <c r="G316" s="198">
        <v>0.95919055835308564</v>
      </c>
      <c r="H316" s="197">
        <v>3.4168697428144963</v>
      </c>
      <c r="I316" s="197">
        <v>-39.755898346344544</v>
      </c>
      <c r="J316" s="198">
        <v>2.645223640372258E-2</v>
      </c>
    </row>
    <row r="317" spans="1:10">
      <c r="A317" s="196">
        <v>1</v>
      </c>
      <c r="B317">
        <v>15</v>
      </c>
      <c r="C317" s="196">
        <v>13</v>
      </c>
      <c r="D317" s="196">
        <v>51</v>
      </c>
      <c r="E317" s="197">
        <v>16.804311824752439</v>
      </c>
      <c r="F317" s="197">
        <v>0.79203343798514902</v>
      </c>
      <c r="G317" s="198">
        <v>3.2020873673654759E-5</v>
      </c>
      <c r="H317" s="197">
        <v>17.763579574752441</v>
      </c>
      <c r="I317" s="197">
        <v>0.9592677500000022</v>
      </c>
      <c r="J317" s="198">
        <v>1.246853779554469E-3</v>
      </c>
    </row>
    <row r="318" spans="1:10">
      <c r="A318" s="196">
        <v>1</v>
      </c>
      <c r="B318">
        <v>15</v>
      </c>
      <c r="C318" s="196">
        <v>13</v>
      </c>
      <c r="D318" s="196">
        <v>52</v>
      </c>
      <c r="E318" s="197">
        <v>236.27333333333337</v>
      </c>
      <c r="F318" s="197">
        <v>29.713459399332585</v>
      </c>
      <c r="G318" s="198">
        <v>5.6614470171667111E-2</v>
      </c>
      <c r="H318" s="197">
        <v>219.64337888561755</v>
      </c>
      <c r="I318" s="197">
        <v>-7.038439003293842</v>
      </c>
      <c r="J318" s="198">
        <v>0.41926888875955814</v>
      </c>
    </row>
    <row r="319" spans="1:10">
      <c r="A319" s="196">
        <v>1</v>
      </c>
      <c r="B319">
        <v>15</v>
      </c>
      <c r="C319" s="196">
        <v>13</v>
      </c>
      <c r="D319" s="196">
        <v>54</v>
      </c>
      <c r="E319" s="197">
        <v>97.598840710519823</v>
      </c>
      <c r="F319" s="197">
        <v>-6.1261495594194262</v>
      </c>
      <c r="G319" s="198">
        <v>2.1390387829180534E-2</v>
      </c>
      <c r="H319" s="197">
        <v>103.72132970258016</v>
      </c>
      <c r="I319" s="197">
        <v>6.1224889920603403</v>
      </c>
      <c r="J319" s="198">
        <v>1.4212438821061316E-3</v>
      </c>
    </row>
    <row r="320" spans="1:10">
      <c r="A320" s="196">
        <v>1</v>
      </c>
      <c r="B320">
        <v>15</v>
      </c>
      <c r="C320" s="196">
        <v>13</v>
      </c>
      <c r="D320" s="196">
        <v>55</v>
      </c>
      <c r="E320" s="197">
        <v>88.850625444920809</v>
      </c>
      <c r="F320" s="197">
        <v>-6.1261495594194262</v>
      </c>
      <c r="G320" s="198">
        <v>2.1390387829180534E-2</v>
      </c>
      <c r="H320" s="197">
        <v>91.3247546433536</v>
      </c>
      <c r="I320" s="197">
        <v>2.784594015003893</v>
      </c>
      <c r="J320" s="198">
        <v>0.3863436905491463</v>
      </c>
    </row>
    <row r="321" spans="1:10">
      <c r="A321" s="196">
        <v>1</v>
      </c>
      <c r="B321">
        <v>15</v>
      </c>
      <c r="C321" s="196">
        <v>13</v>
      </c>
      <c r="D321" s="196">
        <v>56</v>
      </c>
      <c r="E321" s="197">
        <v>6.0651128128666532</v>
      </c>
      <c r="F321" s="197">
        <v>-0.3080419452196364</v>
      </c>
      <c r="G321" s="198">
        <v>9.4053054947329295E-2</v>
      </c>
      <c r="H321" s="197">
        <v>6.6035100299345499</v>
      </c>
      <c r="I321" s="197">
        <v>0.53839721706789678</v>
      </c>
      <c r="J321" s="198">
        <v>2.9654553544126275E-2</v>
      </c>
    </row>
    <row r="322" spans="1:10">
      <c r="A322" s="196">
        <v>1</v>
      </c>
      <c r="B322">
        <v>15</v>
      </c>
      <c r="C322" s="196">
        <v>14</v>
      </c>
      <c r="D322" s="196">
        <v>51</v>
      </c>
      <c r="E322" s="197">
        <v>9.6805100373102615</v>
      </c>
      <c r="F322" s="197">
        <v>-0.19212192563141456</v>
      </c>
      <c r="G322" s="198">
        <v>0.38688067721473884</v>
      </c>
      <c r="H322" s="197">
        <v>11.16469400397693</v>
      </c>
      <c r="I322" s="197">
        <v>1.4841839666666683</v>
      </c>
      <c r="J322" s="198">
        <v>2.5848043600918253E-5</v>
      </c>
    </row>
    <row r="323" spans="1:10">
      <c r="A323" s="196">
        <v>1</v>
      </c>
      <c r="B323">
        <v>15</v>
      </c>
      <c r="C323" s="196">
        <v>14</v>
      </c>
      <c r="D323" s="196">
        <v>52</v>
      </c>
      <c r="E323" s="197">
        <v>148.10300000000001</v>
      </c>
      <c r="F323" s="197">
        <v>20.96709677419355</v>
      </c>
      <c r="G323" s="198">
        <v>6.5924926127444633E-2</v>
      </c>
      <c r="H323" s="197">
        <v>142.41301414630323</v>
      </c>
      <c r="I323" s="197">
        <v>-3.8419112737059953</v>
      </c>
      <c r="J323" s="198">
        <v>0.67598136531867459</v>
      </c>
    </row>
    <row r="324" spans="1:10">
      <c r="A324" s="196">
        <v>1</v>
      </c>
      <c r="B324">
        <v>15</v>
      </c>
      <c r="C324" s="196">
        <v>14</v>
      </c>
      <c r="D324" s="196">
        <v>54</v>
      </c>
      <c r="E324" s="197">
        <v>88.859791426665169</v>
      </c>
      <c r="F324" s="197">
        <v>1.4856097129603913</v>
      </c>
      <c r="G324" s="198">
        <v>0.18788343502286287</v>
      </c>
      <c r="H324" s="197">
        <v>96.035960751332738</v>
      </c>
      <c r="I324" s="197">
        <v>7.1761693246675691</v>
      </c>
      <c r="J324" s="198">
        <v>5.5224999958826434E-5</v>
      </c>
    </row>
    <row r="325" spans="1:10">
      <c r="A325" s="196">
        <v>1</v>
      </c>
      <c r="B325">
        <v>15</v>
      </c>
      <c r="C325" s="196">
        <v>14</v>
      </c>
      <c r="D325" s="196">
        <v>55</v>
      </c>
      <c r="E325" s="197">
        <v>95.413314376008444</v>
      </c>
      <c r="F325" s="197">
        <v>1.4856097129603913</v>
      </c>
      <c r="G325" s="198">
        <v>0.18788343502286287</v>
      </c>
      <c r="H325" s="197">
        <v>96.822582564455402</v>
      </c>
      <c r="I325" s="197">
        <v>1.4770141857699812</v>
      </c>
      <c r="J325" s="198">
        <v>0.50819001503910632</v>
      </c>
    </row>
    <row r="326" spans="1:10">
      <c r="A326" s="196">
        <v>1</v>
      </c>
      <c r="B326">
        <v>15</v>
      </c>
      <c r="C326" s="196">
        <v>14</v>
      </c>
      <c r="D326" s="196">
        <v>56</v>
      </c>
      <c r="E326" s="197">
        <v>5.9294862143414573</v>
      </c>
      <c r="F326" s="197">
        <v>1.9158147918057915E-2</v>
      </c>
      <c r="G326" s="198">
        <v>0.85054646402809519</v>
      </c>
      <c r="H326" s="197">
        <v>6.4907977475964858</v>
      </c>
      <c r="I326" s="197">
        <v>0.56131153325502847</v>
      </c>
      <c r="J326" s="198">
        <v>1.1404946686051787E-3</v>
      </c>
    </row>
    <row r="327" spans="1:10">
      <c r="A327" s="196">
        <v>1</v>
      </c>
      <c r="B327">
        <v>15</v>
      </c>
      <c r="C327" s="196">
        <v>15</v>
      </c>
      <c r="D327" s="196">
        <v>51</v>
      </c>
      <c r="E327" s="197">
        <v>1.8478444437831636</v>
      </c>
      <c r="F327" s="197">
        <v>1.0557226539799622</v>
      </c>
      <c r="G327" s="198">
        <v>4.2743830735086349E-2</v>
      </c>
      <c r="H327" s="197">
        <v>2.7025687437831643</v>
      </c>
      <c r="I327" s="197">
        <v>0.85472430000000088</v>
      </c>
      <c r="J327" s="198">
        <v>9.9708605269316131E-2</v>
      </c>
    </row>
    <row r="328" spans="1:10">
      <c r="A328" s="196">
        <v>1</v>
      </c>
      <c r="B328">
        <v>15</v>
      </c>
      <c r="C328" s="196">
        <v>15</v>
      </c>
      <c r="D328" s="196">
        <v>52</v>
      </c>
      <c r="E328" s="197">
        <v>51.804000000000002</v>
      </c>
      <c r="F328" s="197">
        <v>2.079377085650723</v>
      </c>
      <c r="G328" s="198">
        <v>0.71707954139392327</v>
      </c>
      <c r="H328" s="197">
        <v>49.677606993175722</v>
      </c>
      <c r="I328" s="197">
        <v>-4.1046888402908674</v>
      </c>
      <c r="J328" s="198">
        <v>0.62593119302824607</v>
      </c>
    </row>
    <row r="329" spans="1:10">
      <c r="A329" s="196">
        <v>1</v>
      </c>
      <c r="B329">
        <v>15</v>
      </c>
      <c r="C329" s="196">
        <v>15</v>
      </c>
      <c r="D329" s="196">
        <v>54</v>
      </c>
      <c r="E329" s="197">
        <v>86.588575721794996</v>
      </c>
      <c r="F329" s="197">
        <v>4.024319732793189</v>
      </c>
      <c r="G329" s="198">
        <v>0.19382705800104538</v>
      </c>
      <c r="H329" s="197">
        <v>87.603580718617053</v>
      </c>
      <c r="I329" s="197">
        <v>1.0150049968220571</v>
      </c>
      <c r="J329" s="198">
        <v>0.59793017968521955</v>
      </c>
    </row>
    <row r="330" spans="1:10">
      <c r="A330" s="196">
        <v>1</v>
      </c>
      <c r="B330">
        <v>15</v>
      </c>
      <c r="C330" s="196">
        <v>15</v>
      </c>
      <c r="D330" s="196">
        <v>55</v>
      </c>
      <c r="E330" s="197">
        <v>78.262848811318506</v>
      </c>
      <c r="F330" s="197">
        <v>4.024319732793189</v>
      </c>
      <c r="G330" s="198">
        <v>0.19382705800104538</v>
      </c>
      <c r="H330" s="197">
        <v>77.176757738734281</v>
      </c>
      <c r="I330" s="197">
        <v>-1.3877479405364399</v>
      </c>
      <c r="J330" s="198">
        <v>0.50006048223453514</v>
      </c>
    </row>
    <row r="331" spans="1:10">
      <c r="A331" s="196">
        <v>1</v>
      </c>
      <c r="B331">
        <v>15</v>
      </c>
      <c r="C331" s="196">
        <v>15</v>
      </c>
      <c r="D331" s="196">
        <v>56</v>
      </c>
      <c r="E331" s="197">
        <v>3.3567645768518153</v>
      </c>
      <c r="F331" s="197">
        <v>0.27088671655641089</v>
      </c>
      <c r="G331" s="198">
        <v>7.539434165607975E-2</v>
      </c>
      <c r="H331" s="197">
        <v>3.3607265199211325</v>
      </c>
      <c r="I331" s="197">
        <v>3.9619430693171864E-3</v>
      </c>
      <c r="J331" s="198">
        <v>0.9755596676026097</v>
      </c>
    </row>
    <row r="332" spans="1:10">
      <c r="A332" s="196">
        <v>1</v>
      </c>
      <c r="B332">
        <v>15</v>
      </c>
      <c r="C332" s="196">
        <v>16</v>
      </c>
      <c r="D332" s="196">
        <v>51</v>
      </c>
      <c r="E332" s="197">
        <v>-2.8934551705380498</v>
      </c>
      <c r="F332" s="197">
        <v>0.29358451862136425</v>
      </c>
      <c r="G332" s="198">
        <v>0.50791705143428467</v>
      </c>
      <c r="H332" s="197">
        <v>-1.4137662549199208</v>
      </c>
      <c r="I332" s="197">
        <v>1.2</v>
      </c>
      <c r="J332" s="198">
        <v>0.01</v>
      </c>
    </row>
    <row r="333" spans="1:10">
      <c r="A333" s="196">
        <v>1</v>
      </c>
      <c r="B333">
        <v>15</v>
      </c>
      <c r="C333" s="196">
        <v>16</v>
      </c>
      <c r="D333" s="196">
        <v>52</v>
      </c>
      <c r="E333" s="197">
        <v>130.43433333333334</v>
      </c>
      <c r="F333" s="197">
        <v>8.6201779755283638</v>
      </c>
      <c r="G333" s="198">
        <v>0.1813404418969724</v>
      </c>
      <c r="H333" s="197">
        <v>144.15831042136864</v>
      </c>
      <c r="I333" s="197">
        <v>10.521752009083988</v>
      </c>
      <c r="J333" s="198">
        <v>8.1430502568942548E-2</v>
      </c>
    </row>
    <row r="334" spans="1:10">
      <c r="A334" s="196">
        <v>1</v>
      </c>
      <c r="B334">
        <v>15</v>
      </c>
      <c r="C334" s="196">
        <v>16</v>
      </c>
      <c r="D334" s="196">
        <v>54</v>
      </c>
      <c r="E334" s="197">
        <v>91.224390235256493</v>
      </c>
      <c r="F334" s="197">
        <v>0.26577768859189149</v>
      </c>
      <c r="G334" s="198">
        <v>0.51709237521843643</v>
      </c>
      <c r="H334" s="197">
        <v>92.014250171603351</v>
      </c>
      <c r="I334" s="197">
        <v>0.78985993634685769</v>
      </c>
      <c r="J334" s="198">
        <v>0.57960971318576182</v>
      </c>
    </row>
    <row r="335" spans="1:10">
      <c r="A335" s="196">
        <v>1</v>
      </c>
      <c r="B335">
        <v>15</v>
      </c>
      <c r="C335" s="196">
        <v>16</v>
      </c>
      <c r="D335" s="196">
        <v>55</v>
      </c>
      <c r="E335" s="197">
        <v>98.261652702315772</v>
      </c>
      <c r="F335" s="197">
        <v>0.26577768859189149</v>
      </c>
      <c r="G335" s="198">
        <v>0.51709237521843643</v>
      </c>
      <c r="H335" s="197">
        <v>96.686346976937372</v>
      </c>
      <c r="I335" s="197">
        <v>-1.6031744653743998</v>
      </c>
      <c r="J335" s="198">
        <v>0.23244490661364736</v>
      </c>
    </row>
    <row r="336" spans="1:10">
      <c r="A336" s="196">
        <v>1</v>
      </c>
      <c r="B336">
        <v>15</v>
      </c>
      <c r="C336" s="196">
        <v>16</v>
      </c>
      <c r="D336" s="196">
        <v>56</v>
      </c>
      <c r="E336" s="197">
        <v>25.983805412737514</v>
      </c>
      <c r="F336" s="197">
        <v>0.56903513817468843</v>
      </c>
      <c r="G336" s="198">
        <v>0.36004125420533861</v>
      </c>
      <c r="H336" s="197">
        <v>25.791831921459316</v>
      </c>
      <c r="I336" s="197">
        <v>0.56903513817468843</v>
      </c>
      <c r="J336" s="198">
        <v>0.36004125420533861</v>
      </c>
    </row>
    <row r="337" spans="1:10">
      <c r="A337" s="196">
        <v>1</v>
      </c>
      <c r="B337">
        <v>15</v>
      </c>
      <c r="C337" s="196">
        <v>17</v>
      </c>
      <c r="D337" s="196">
        <v>51</v>
      </c>
      <c r="E337" s="197">
        <v>6.6563789721252924</v>
      </c>
      <c r="F337" s="197">
        <v>0.39835879692432896</v>
      </c>
      <c r="G337" s="198">
        <v>0.11813743798719933</v>
      </c>
      <c r="H337" s="197">
        <v>7.4245516721252942</v>
      </c>
      <c r="I337" s="197">
        <v>0.76817270000000182</v>
      </c>
      <c r="J337" s="198">
        <v>3.8047835796023621E-3</v>
      </c>
    </row>
    <row r="338" spans="1:10">
      <c r="A338" s="196">
        <v>1</v>
      </c>
      <c r="B338">
        <v>15</v>
      </c>
      <c r="C338" s="196">
        <v>17</v>
      </c>
      <c r="D338" s="196">
        <v>52</v>
      </c>
      <c r="E338" s="197">
        <v>232.53399999999996</v>
      </c>
      <c r="F338" s="197">
        <v>18.083604004449398</v>
      </c>
      <c r="G338" s="198">
        <v>0.11224358326264294</v>
      </c>
      <c r="H338" s="197">
        <v>231.93182919294102</v>
      </c>
      <c r="I338" s="197">
        <v>-0.25896032711730377</v>
      </c>
      <c r="J338" s="198">
        <v>0.96399843002487906</v>
      </c>
    </row>
    <row r="339" spans="1:10">
      <c r="A339" s="196">
        <v>1</v>
      </c>
      <c r="B339">
        <v>15</v>
      </c>
      <c r="C339" s="196">
        <v>17</v>
      </c>
      <c r="D339" s="196">
        <v>54</v>
      </c>
      <c r="E339" s="197">
        <v>96.894803632223912</v>
      </c>
      <c r="F339" s="197">
        <v>-1.5879827100283215</v>
      </c>
      <c r="G339" s="198">
        <v>3.4964930573712895E-2</v>
      </c>
      <c r="H339" s="197">
        <v>96.317371802115034</v>
      </c>
      <c r="I339" s="197">
        <v>-0.57743183010887833</v>
      </c>
      <c r="J339" s="198">
        <v>0.40183064013703296</v>
      </c>
    </row>
    <row r="340" spans="1:10">
      <c r="A340" s="196">
        <v>1</v>
      </c>
      <c r="B340">
        <v>15</v>
      </c>
      <c r="C340" s="196">
        <v>17</v>
      </c>
      <c r="D340" s="196">
        <v>55</v>
      </c>
      <c r="E340" s="197">
        <v>96.956974921837414</v>
      </c>
      <c r="F340" s="197">
        <v>-1.5879827100283215</v>
      </c>
      <c r="G340" s="198">
        <v>3.4964930573712895E-2</v>
      </c>
      <c r="H340" s="197">
        <v>96.657681296167894</v>
      </c>
      <c r="I340" s="197">
        <v>-0.30868705001450014</v>
      </c>
      <c r="J340" s="198">
        <v>0.85693246470463214</v>
      </c>
    </row>
    <row r="341" spans="1:10">
      <c r="A341" s="196">
        <v>1</v>
      </c>
      <c r="B341">
        <v>15</v>
      </c>
      <c r="C341" s="196">
        <v>17</v>
      </c>
      <c r="D341" s="196">
        <v>56</v>
      </c>
      <c r="E341" s="197">
        <v>33.813578619982344</v>
      </c>
      <c r="F341" s="197">
        <v>-6.3010337024598961E-2</v>
      </c>
      <c r="G341" s="198">
        <v>0.86622185900151516</v>
      </c>
      <c r="H341" s="197">
        <v>33.51329659482878</v>
      </c>
      <c r="I341" s="197">
        <v>-0.30028202515356384</v>
      </c>
      <c r="J341" s="198">
        <v>0.61539856613252097</v>
      </c>
    </row>
    <row r="342" spans="1:10">
      <c r="A342" s="196">
        <v>1</v>
      </c>
      <c r="B342">
        <v>15</v>
      </c>
      <c r="C342" s="196">
        <v>18</v>
      </c>
      <c r="D342" s="196">
        <v>51</v>
      </c>
      <c r="E342" s="197">
        <v>15.097133337126838</v>
      </c>
      <c r="F342" s="197">
        <v>0.61897071433853923</v>
      </c>
      <c r="G342" s="198">
        <v>3.4068113249800568E-3</v>
      </c>
      <c r="H342" s="197">
        <v>16.100727337126834</v>
      </c>
      <c r="I342" s="197">
        <v>1.0035939999999979</v>
      </c>
      <c r="J342" s="198">
        <v>2.7760146057883026E-3</v>
      </c>
    </row>
    <row r="343" spans="1:10">
      <c r="A343" s="196">
        <v>1</v>
      </c>
      <c r="B343">
        <v>15</v>
      </c>
      <c r="C343" s="196">
        <v>18</v>
      </c>
      <c r="D343" s="196">
        <v>52</v>
      </c>
      <c r="E343" s="197">
        <v>130.39333333333335</v>
      </c>
      <c r="F343" s="197">
        <v>7.4362625139043317</v>
      </c>
      <c r="G343" s="198">
        <v>0.49090819527476759</v>
      </c>
      <c r="H343" s="197">
        <v>137.32981341815361</v>
      </c>
      <c r="I343" s="197">
        <v>5.319658534296428</v>
      </c>
      <c r="J343" s="198">
        <v>0.52371933346776189</v>
      </c>
    </row>
    <row r="344" spans="1:10">
      <c r="A344" s="196">
        <v>1</v>
      </c>
      <c r="B344">
        <v>15</v>
      </c>
      <c r="C344" s="196">
        <v>18</v>
      </c>
      <c r="D344" s="196">
        <v>54</v>
      </c>
      <c r="E344" s="197">
        <v>95.497691966474562</v>
      </c>
      <c r="F344" s="197">
        <v>0</v>
      </c>
      <c r="G344" s="198">
        <v>0</v>
      </c>
      <c r="H344" s="197">
        <v>98.376322253947237</v>
      </c>
      <c r="I344" s="197">
        <v>2.8786302874726744</v>
      </c>
      <c r="J344" s="198">
        <v>1.4188414157319081E-2</v>
      </c>
    </row>
    <row r="345" spans="1:10">
      <c r="A345" s="196">
        <v>1</v>
      </c>
      <c r="B345">
        <v>15</v>
      </c>
      <c r="C345" s="196">
        <v>18</v>
      </c>
      <c r="D345" s="196">
        <v>55</v>
      </c>
      <c r="E345" s="197">
        <v>0</v>
      </c>
      <c r="F345" s="197">
        <v>0</v>
      </c>
      <c r="G345" s="198">
        <v>0</v>
      </c>
      <c r="H345" s="197">
        <v>0</v>
      </c>
      <c r="I345" s="197">
        <v>-2.9411710335464871</v>
      </c>
      <c r="J345" s="198">
        <v>0.7073803276452939</v>
      </c>
    </row>
    <row r="346" spans="1:10">
      <c r="A346" s="196">
        <v>1</v>
      </c>
      <c r="B346">
        <v>15</v>
      </c>
      <c r="C346" s="196">
        <v>18</v>
      </c>
      <c r="D346" s="196">
        <v>56</v>
      </c>
      <c r="E346" s="197">
        <v>0</v>
      </c>
      <c r="F346" s="197">
        <v>0</v>
      </c>
      <c r="G346" s="198">
        <v>0</v>
      </c>
      <c r="H346" s="197">
        <v>3.4635008845357973E-2</v>
      </c>
      <c r="I346" s="197">
        <v>3.4635008845357973E-2</v>
      </c>
      <c r="J346" s="198">
        <v>0.93735211301523835</v>
      </c>
    </row>
    <row r="347" spans="1:10">
      <c r="A347" s="196">
        <v>1</v>
      </c>
      <c r="B347">
        <v>15</v>
      </c>
      <c r="C347" s="196">
        <v>19</v>
      </c>
      <c r="D347" s="196">
        <v>51</v>
      </c>
      <c r="E347" s="197">
        <v>17.039956992610804</v>
      </c>
      <c r="F347" s="197">
        <v>0.86454771066302827</v>
      </c>
      <c r="G347" s="198">
        <v>5.5635737858986112E-4</v>
      </c>
      <c r="H347" s="197">
        <v>17.667111025944145</v>
      </c>
      <c r="I347" s="197">
        <v>0.62715403333334052</v>
      </c>
      <c r="J347" s="198">
        <v>7.7679289258393749E-2</v>
      </c>
    </row>
    <row r="348" spans="1:10">
      <c r="A348" s="196">
        <v>1</v>
      </c>
      <c r="B348">
        <v>15</v>
      </c>
      <c r="C348" s="196">
        <v>19</v>
      </c>
      <c r="D348" s="196">
        <v>52</v>
      </c>
      <c r="E348" s="197">
        <v>136.60600000000002</v>
      </c>
      <c r="F348" s="197">
        <v>21.555550611790881</v>
      </c>
      <c r="G348" s="198">
        <v>0.14170231267765165</v>
      </c>
      <c r="H348" s="197">
        <v>138.06690474627027</v>
      </c>
      <c r="I348" s="197">
        <v>1.0694294147184191</v>
      </c>
      <c r="J348" s="198">
        <v>0.92674250313983331</v>
      </c>
    </row>
    <row r="349" spans="1:10">
      <c r="A349" s="196">
        <v>1</v>
      </c>
      <c r="B349">
        <v>15</v>
      </c>
      <c r="C349" s="196">
        <v>19</v>
      </c>
      <c r="D349" s="196">
        <v>54</v>
      </c>
      <c r="E349" s="197">
        <v>77.575042930890149</v>
      </c>
      <c r="F349" s="197">
        <v>0</v>
      </c>
      <c r="G349" s="198">
        <v>0</v>
      </c>
      <c r="H349" s="197">
        <v>82.548039842167199</v>
      </c>
      <c r="I349" s="197">
        <v>4.9729969112770505</v>
      </c>
      <c r="J349" s="198">
        <v>6.7578925825230882E-2</v>
      </c>
    </row>
    <row r="350" spans="1:10">
      <c r="A350" s="196">
        <v>1</v>
      </c>
      <c r="B350">
        <v>15</v>
      </c>
      <c r="C350" s="196">
        <v>19</v>
      </c>
      <c r="D350" s="196">
        <v>55</v>
      </c>
      <c r="E350" s="197">
        <v>0</v>
      </c>
      <c r="F350" s="197">
        <v>0</v>
      </c>
      <c r="G350" s="198">
        <v>0</v>
      </c>
      <c r="H350" s="197">
        <v>0</v>
      </c>
      <c r="I350" s="197">
        <v>-2.4165953664282478</v>
      </c>
      <c r="J350" s="198">
        <v>0.82277722654401297</v>
      </c>
    </row>
    <row r="351" spans="1:10">
      <c r="A351" s="196">
        <v>1</v>
      </c>
      <c r="B351">
        <v>15</v>
      </c>
      <c r="C351" s="196">
        <v>19</v>
      </c>
      <c r="D351" s="196">
        <v>56</v>
      </c>
      <c r="E351" s="197">
        <v>0</v>
      </c>
      <c r="F351" s="197">
        <v>0</v>
      </c>
      <c r="G351" s="198">
        <v>0</v>
      </c>
      <c r="H351" s="197">
        <v>0.15665934718395302</v>
      </c>
      <c r="I351" s="197">
        <v>0.15665934718395302</v>
      </c>
      <c r="J351" s="198">
        <v>0.68807854909951205</v>
      </c>
    </row>
    <row r="352" spans="1:10">
      <c r="A352" s="196">
        <v>1</v>
      </c>
      <c r="B352">
        <v>6</v>
      </c>
      <c r="C352" s="196">
        <v>13</v>
      </c>
      <c r="D352" s="196">
        <v>51</v>
      </c>
      <c r="E352" s="197">
        <v>19.651262095564157</v>
      </c>
      <c r="F352" s="197">
        <v>1.00246772424216</v>
      </c>
      <c r="G352" s="198">
        <v>1.5730182271120156E-4</v>
      </c>
      <c r="H352" s="197">
        <v>20.517893745564166</v>
      </c>
      <c r="I352" s="197">
        <v>0.8666316500000093</v>
      </c>
      <c r="J352" s="198">
        <v>4.3927668185216699E-3</v>
      </c>
    </row>
    <row r="353" spans="1:10">
      <c r="A353" s="196">
        <v>1</v>
      </c>
      <c r="B353">
        <v>6</v>
      </c>
      <c r="C353" s="196">
        <v>13</v>
      </c>
      <c r="D353" s="196">
        <v>52</v>
      </c>
      <c r="E353" s="197">
        <v>136.61035185759872</v>
      </c>
      <c r="F353" s="197">
        <v>2.4430858156551351E-2</v>
      </c>
      <c r="G353" s="198">
        <v>0.99756400226793407</v>
      </c>
      <c r="H353" s="197">
        <v>128.0590103623579</v>
      </c>
      <c r="I353" s="197">
        <v>-6.2596584951004672</v>
      </c>
      <c r="J353" s="198">
        <v>0.44475236334580714</v>
      </c>
    </row>
    <row r="354" spans="1:10">
      <c r="A354" s="196">
        <v>1</v>
      </c>
      <c r="B354">
        <v>6</v>
      </c>
      <c r="C354" s="196">
        <v>13</v>
      </c>
      <c r="D354" s="196">
        <v>54</v>
      </c>
      <c r="E354" s="197">
        <v>92.02941306371531</v>
      </c>
      <c r="F354" s="197">
        <v>1.8117357397980196</v>
      </c>
      <c r="G354" s="198">
        <v>0.31435427259199222</v>
      </c>
      <c r="H354" s="197">
        <v>91.184913223708548</v>
      </c>
      <c r="I354" s="197">
        <v>-0.84449984000676181</v>
      </c>
      <c r="J354" s="198">
        <v>0.42028725292086178</v>
      </c>
    </row>
    <row r="355" spans="1:10">
      <c r="A355" s="196">
        <v>1</v>
      </c>
      <c r="B355">
        <v>6</v>
      </c>
      <c r="C355" s="196">
        <v>13</v>
      </c>
      <c r="D355" s="196">
        <v>55</v>
      </c>
      <c r="E355" s="197">
        <v>98.781256158494088</v>
      </c>
      <c r="F355" s="197">
        <v>1.8117357397980196</v>
      </c>
      <c r="G355" s="198">
        <v>0.31435427259199222</v>
      </c>
      <c r="H355" s="197">
        <v>100.90158920567778</v>
      </c>
      <c r="I355" s="197">
        <v>2.1464933021115087</v>
      </c>
      <c r="J355" s="198">
        <v>8.2781875230133639E-2</v>
      </c>
    </row>
    <row r="356" spans="1:10">
      <c r="A356" s="196">
        <v>1</v>
      </c>
      <c r="B356">
        <v>6</v>
      </c>
      <c r="C356" s="196">
        <v>13</v>
      </c>
      <c r="D356" s="196">
        <v>56</v>
      </c>
      <c r="E356" s="197">
        <v>6.3628215051102401</v>
      </c>
      <c r="F356" s="197">
        <v>-0.50419909538290564</v>
      </c>
      <c r="G356" s="198">
        <v>5.9747724350405341E-4</v>
      </c>
      <c r="H356" s="197">
        <v>6.4410375845491821</v>
      </c>
      <c r="I356" s="197">
        <v>7.8216079438941932E-2</v>
      </c>
      <c r="J356" s="198">
        <v>0.46722194494953206</v>
      </c>
    </row>
    <row r="357" spans="1:10">
      <c r="A357" s="196">
        <v>1</v>
      </c>
      <c r="B357">
        <v>6</v>
      </c>
      <c r="C357" s="196">
        <v>14</v>
      </c>
      <c r="D357" s="196">
        <v>51</v>
      </c>
      <c r="E357" s="197">
        <v>10.873599732075839</v>
      </c>
      <c r="F357" s="197">
        <v>0.18905379904344571</v>
      </c>
      <c r="G357" s="198">
        <v>0.39574115759514072</v>
      </c>
      <c r="H357" s="197">
        <v>12.467094065409171</v>
      </c>
      <c r="I357" s="197">
        <v>1.5934943333333322</v>
      </c>
      <c r="J357" s="198">
        <v>2.2148221437025617E-6</v>
      </c>
    </row>
    <row r="358" spans="1:10">
      <c r="A358" s="196">
        <v>1</v>
      </c>
      <c r="B358">
        <v>6</v>
      </c>
      <c r="C358" s="196">
        <v>14</v>
      </c>
      <c r="D358" s="196">
        <v>52</v>
      </c>
      <c r="E358" s="197">
        <v>93.063314823745543</v>
      </c>
      <c r="F358" s="197">
        <v>7.3235261542446972</v>
      </c>
      <c r="G358" s="198">
        <v>0.34051332696310155</v>
      </c>
      <c r="H358" s="197">
        <v>93.58535152811109</v>
      </c>
      <c r="I358" s="197">
        <v>0.56094789375840015</v>
      </c>
      <c r="J358" s="198">
        <v>0.95139596848199814</v>
      </c>
    </row>
    <row r="359" spans="1:10">
      <c r="A359" s="196">
        <v>1</v>
      </c>
      <c r="B359">
        <v>6</v>
      </c>
      <c r="C359" s="196">
        <v>14</v>
      </c>
      <c r="D359" s="196">
        <v>54</v>
      </c>
      <c r="E359" s="197">
        <v>94.691791002286436</v>
      </c>
      <c r="F359" s="197">
        <v>1.071685522108748</v>
      </c>
      <c r="G359" s="198">
        <v>0.65458821078326768</v>
      </c>
      <c r="H359" s="197">
        <v>99.894745506831953</v>
      </c>
      <c r="I359" s="197">
        <v>5.2029545045455166</v>
      </c>
      <c r="J359" s="198">
        <v>2.9278591563396294E-5</v>
      </c>
    </row>
    <row r="360" spans="1:10">
      <c r="A360" s="196">
        <v>1</v>
      </c>
      <c r="B360">
        <v>6</v>
      </c>
      <c r="C360" s="196">
        <v>14</v>
      </c>
      <c r="D360" s="196">
        <v>55</v>
      </c>
      <c r="E360" s="197">
        <v>89.00488014248053</v>
      </c>
      <c r="F360" s="197">
        <v>1.071685522108748</v>
      </c>
      <c r="G360" s="198">
        <v>0.65458821078326768</v>
      </c>
      <c r="H360" s="197">
        <v>89.029438823949931</v>
      </c>
      <c r="I360" s="197">
        <v>2.759251114105489E-2</v>
      </c>
      <c r="J360" s="198">
        <v>0.98780327994531003</v>
      </c>
    </row>
    <row r="361" spans="1:10">
      <c r="A361" s="196">
        <v>1</v>
      </c>
      <c r="B361">
        <v>6</v>
      </c>
      <c r="C361" s="196">
        <v>14</v>
      </c>
      <c r="D361" s="196">
        <v>56</v>
      </c>
      <c r="E361" s="197">
        <v>5.8924389200202345</v>
      </c>
      <c r="F361" s="197">
        <v>0.1579303590236204</v>
      </c>
      <c r="G361" s="198">
        <v>0.17062928730173788</v>
      </c>
      <c r="H361" s="197">
        <v>6.2263533176908634</v>
      </c>
      <c r="I361" s="197">
        <v>0.33391439767062892</v>
      </c>
      <c r="J361" s="198">
        <v>2.3465918340443984E-2</v>
      </c>
    </row>
    <row r="362" spans="1:10">
      <c r="A362" s="196">
        <v>1</v>
      </c>
      <c r="B362">
        <v>6</v>
      </c>
      <c r="C362" s="196">
        <v>15</v>
      </c>
      <c r="D362" s="196">
        <v>51</v>
      </c>
      <c r="E362" s="197">
        <v>1.6510222234444492</v>
      </c>
      <c r="F362" s="197">
        <v>1.2055271307882989</v>
      </c>
      <c r="G362" s="198">
        <v>4.2026580000017001E-2</v>
      </c>
      <c r="H362" s="197">
        <v>2.8680363567777825</v>
      </c>
      <c r="I362" s="197">
        <v>1.2170141333333331</v>
      </c>
      <c r="J362" s="198">
        <v>1.5772808503972204E-2</v>
      </c>
    </row>
    <row r="363" spans="1:10">
      <c r="A363" s="196">
        <v>1</v>
      </c>
      <c r="B363">
        <v>6</v>
      </c>
      <c r="C363" s="196">
        <v>15</v>
      </c>
      <c r="D363" s="196">
        <v>52</v>
      </c>
      <c r="E363" s="197">
        <v>43.682555559335512</v>
      </c>
      <c r="F363" s="197">
        <v>1.5835125502312708</v>
      </c>
      <c r="G363" s="198">
        <v>0.67009658788534698</v>
      </c>
      <c r="H363" s="197">
        <v>41.437247647730928</v>
      </c>
      <c r="I363" s="197">
        <v>-5.1400562143272674</v>
      </c>
      <c r="J363" s="198">
        <v>0.55518999090290788</v>
      </c>
    </row>
    <row r="364" spans="1:10">
      <c r="A364" s="196">
        <v>1</v>
      </c>
      <c r="B364">
        <v>6</v>
      </c>
      <c r="C364" s="196">
        <v>15</v>
      </c>
      <c r="D364" s="196">
        <v>54</v>
      </c>
      <c r="E364" s="197">
        <v>84.699945639840593</v>
      </c>
      <c r="F364" s="197">
        <v>4.6095260766477288</v>
      </c>
      <c r="G364" s="198">
        <v>0.19456966153971511</v>
      </c>
      <c r="H364" s="197">
        <v>88.723380825525851</v>
      </c>
      <c r="I364" s="197">
        <v>4.0234351856852584</v>
      </c>
      <c r="J364" s="198">
        <v>3.4525878167564319E-2</v>
      </c>
    </row>
    <row r="365" spans="1:10">
      <c r="A365" s="196">
        <v>1</v>
      </c>
      <c r="B365">
        <v>6</v>
      </c>
      <c r="C365" s="196">
        <v>15</v>
      </c>
      <c r="D365" s="196">
        <v>55</v>
      </c>
      <c r="E365" s="197">
        <v>75.400497619822815</v>
      </c>
      <c r="F365" s="197">
        <v>4.6095260766477288</v>
      </c>
      <c r="G365" s="198">
        <v>0.19456966153971511</v>
      </c>
      <c r="H365" s="197">
        <v>74.428386706025151</v>
      </c>
      <c r="I365" s="197">
        <v>-1.2892632601699083</v>
      </c>
      <c r="J365" s="198">
        <v>0.64934629140105693</v>
      </c>
    </row>
    <row r="366" spans="1:10">
      <c r="A366" s="196">
        <v>1</v>
      </c>
      <c r="B366">
        <v>6</v>
      </c>
      <c r="C366" s="196">
        <v>15</v>
      </c>
      <c r="D366" s="196">
        <v>56</v>
      </c>
      <c r="E366" s="197">
        <v>3.1962367928064404</v>
      </c>
      <c r="F366" s="197">
        <v>0.20317815675929773</v>
      </c>
      <c r="G366" s="198">
        <v>0.21546597795715905</v>
      </c>
      <c r="H366" s="197">
        <v>3.3373735726985632</v>
      </c>
      <c r="I366" s="197">
        <v>0.14113677989212281</v>
      </c>
      <c r="J366" s="198">
        <v>0.32335723551199003</v>
      </c>
    </row>
    <row r="367" spans="1:10">
      <c r="A367" s="196">
        <v>1</v>
      </c>
      <c r="B367">
        <v>6</v>
      </c>
      <c r="C367" s="196">
        <v>16</v>
      </c>
      <c r="D367" s="196">
        <v>51</v>
      </c>
      <c r="E367" s="197">
        <v>-3.2213548038801312</v>
      </c>
      <c r="F367" s="197">
        <v>0.41052685565811997</v>
      </c>
      <c r="G367" s="198">
        <v>0.41811474052070463</v>
      </c>
      <c r="H367" s="197">
        <v>-1.4137662549199208</v>
      </c>
      <c r="I367" s="197">
        <v>1.2</v>
      </c>
      <c r="J367" s="198">
        <v>0.01</v>
      </c>
    </row>
    <row r="368" spans="1:10">
      <c r="A368" s="196">
        <v>1</v>
      </c>
      <c r="B368">
        <v>6</v>
      </c>
      <c r="C368" s="196">
        <v>16</v>
      </c>
      <c r="D368" s="196">
        <v>52</v>
      </c>
      <c r="E368" s="197">
        <v>105.52222221911779</v>
      </c>
      <c r="F368" s="197">
        <v>3.0130836682667765</v>
      </c>
      <c r="G368" s="198">
        <v>0.61203047785402409</v>
      </c>
      <c r="H368" s="197">
        <v>118.81117873857443</v>
      </c>
      <c r="I368" s="197">
        <v>12.593514655009832</v>
      </c>
      <c r="J368" s="198">
        <v>5.7553950855435188E-2</v>
      </c>
    </row>
    <row r="369" spans="1:10">
      <c r="A369" s="196">
        <v>1</v>
      </c>
      <c r="B369">
        <v>6</v>
      </c>
      <c r="C369" s="196">
        <v>16</v>
      </c>
      <c r="D369" s="196">
        <v>54</v>
      </c>
      <c r="E369" s="197">
        <v>89.383980803400576</v>
      </c>
      <c r="F369" s="197">
        <v>-4.9264697923598159E-2</v>
      </c>
      <c r="G369" s="198">
        <v>0.9271985094249009</v>
      </c>
      <c r="H369" s="197">
        <v>90.25753100234185</v>
      </c>
      <c r="I369" s="197">
        <v>0.87355019894127395</v>
      </c>
      <c r="J369" s="198">
        <v>0.61891822120745887</v>
      </c>
    </row>
    <row r="370" spans="1:10">
      <c r="A370" s="196">
        <v>1</v>
      </c>
      <c r="B370">
        <v>6</v>
      </c>
      <c r="C370" s="196">
        <v>16</v>
      </c>
      <c r="D370" s="196">
        <v>55</v>
      </c>
      <c r="E370" s="197">
        <v>96.062532375866056</v>
      </c>
      <c r="F370" s="197">
        <v>-4.9264697923598159E-2</v>
      </c>
      <c r="G370" s="198">
        <v>0.9271985094249009</v>
      </c>
      <c r="H370" s="197">
        <v>95.764901188512567</v>
      </c>
      <c r="I370" s="197">
        <v>-0.30983066966102957</v>
      </c>
      <c r="J370" s="198">
        <v>0.53787316416293962</v>
      </c>
    </row>
    <row r="371" spans="1:10">
      <c r="A371" s="196">
        <v>1</v>
      </c>
      <c r="B371">
        <v>6</v>
      </c>
      <c r="C371" s="196">
        <v>16</v>
      </c>
      <c r="D371" s="196">
        <v>56</v>
      </c>
      <c r="E371" s="197">
        <v>24.902494356963626</v>
      </c>
      <c r="F371" s="197">
        <v>0.75085038733093545</v>
      </c>
      <c r="G371" s="198">
        <v>0.39143641885965785</v>
      </c>
      <c r="H371" s="197">
        <v>25.061031277011729</v>
      </c>
      <c r="I371" s="197">
        <v>0.75085038733093545</v>
      </c>
      <c r="J371" s="198">
        <v>0.39143641885965785</v>
      </c>
    </row>
    <row r="372" spans="1:10">
      <c r="A372" s="196">
        <v>1</v>
      </c>
      <c r="B372">
        <v>6</v>
      </c>
      <c r="C372" s="196">
        <v>17</v>
      </c>
      <c r="D372" s="196">
        <v>51</v>
      </c>
      <c r="E372" s="197">
        <v>8.474630896261413</v>
      </c>
      <c r="F372" s="197">
        <v>0.48962688756404815</v>
      </c>
      <c r="G372" s="198">
        <v>6.2601822388410597E-2</v>
      </c>
      <c r="H372" s="197">
        <v>9.2542161184836385</v>
      </c>
      <c r="I372" s="197">
        <v>0.77958522222222548</v>
      </c>
      <c r="J372" s="198">
        <v>2.5784829157421908E-3</v>
      </c>
    </row>
    <row r="373" spans="1:10">
      <c r="A373" s="196">
        <v>1</v>
      </c>
      <c r="B373">
        <v>6</v>
      </c>
      <c r="C373" s="196">
        <v>17</v>
      </c>
      <c r="D373" s="196">
        <v>52</v>
      </c>
      <c r="E373" s="197">
        <v>130.63624073737307</v>
      </c>
      <c r="F373" s="197">
        <v>3.3391682097512487</v>
      </c>
      <c r="G373" s="198">
        <v>0.63960257836714851</v>
      </c>
      <c r="H373" s="197">
        <v>133.81946767216999</v>
      </c>
      <c r="I373" s="197">
        <v>2.4367104540281201</v>
      </c>
      <c r="J373" s="198">
        <v>0.73635804710840769</v>
      </c>
    </row>
    <row r="374" spans="1:10">
      <c r="A374" s="196">
        <v>1</v>
      </c>
      <c r="B374">
        <v>6</v>
      </c>
      <c r="C374" s="196">
        <v>17</v>
      </c>
      <c r="D374" s="196">
        <v>54</v>
      </c>
      <c r="E374" s="197">
        <v>97.234559133311237</v>
      </c>
      <c r="F374" s="197">
        <v>4.4570916175883921</v>
      </c>
      <c r="G374" s="198">
        <v>0.12459849294636527</v>
      </c>
      <c r="H374" s="197">
        <v>93.844177835085333</v>
      </c>
      <c r="I374" s="197">
        <v>-3.3903812982259041</v>
      </c>
      <c r="J374" s="198">
        <v>8.2307868674101493E-3</v>
      </c>
    </row>
    <row r="375" spans="1:10">
      <c r="A375" s="196">
        <v>1</v>
      </c>
      <c r="B375">
        <v>6</v>
      </c>
      <c r="C375" s="196">
        <v>17</v>
      </c>
      <c r="D375" s="196">
        <v>55</v>
      </c>
      <c r="E375" s="197">
        <v>98.205885392762625</v>
      </c>
      <c r="F375" s="197">
        <v>4.4570916175883921</v>
      </c>
      <c r="G375" s="198">
        <v>0.12459849294636527</v>
      </c>
      <c r="H375" s="197">
        <v>97.418992920320676</v>
      </c>
      <c r="I375" s="197">
        <v>-0.80126814120647949</v>
      </c>
      <c r="J375" s="198">
        <v>0.16260185693847518</v>
      </c>
    </row>
    <row r="376" spans="1:10">
      <c r="A376" s="196">
        <v>1</v>
      </c>
      <c r="B376">
        <v>6</v>
      </c>
      <c r="C376" s="196">
        <v>17</v>
      </c>
      <c r="D376" s="196">
        <v>56</v>
      </c>
      <c r="E376" s="197">
        <v>34.378316880826652</v>
      </c>
      <c r="F376" s="197">
        <v>-6.6901877539158106E-2</v>
      </c>
      <c r="G376" s="198">
        <v>0.85652672592597145</v>
      </c>
      <c r="H376" s="197">
        <v>32.901264668555136</v>
      </c>
      <c r="I376" s="197">
        <v>-1.4770522122715164</v>
      </c>
      <c r="J376" s="198">
        <v>3.3603043477155826E-3</v>
      </c>
    </row>
    <row r="377" spans="1:10">
      <c r="A377" s="196">
        <v>1</v>
      </c>
      <c r="B377">
        <v>6</v>
      </c>
      <c r="C377" s="196">
        <v>18</v>
      </c>
      <c r="D377" s="196">
        <v>51</v>
      </c>
      <c r="E377" s="197">
        <v>18.227177779727509</v>
      </c>
      <c r="F377" s="197">
        <v>0.53700457562448145</v>
      </c>
      <c r="G377" s="198">
        <v>0.11792593627036999</v>
      </c>
      <c r="H377" s="197">
        <v>19.247402213060845</v>
      </c>
      <c r="I377" s="197">
        <v>1.0202244333333361</v>
      </c>
      <c r="J377" s="198">
        <v>7.6733872934961369E-4</v>
      </c>
    </row>
    <row r="378" spans="1:10">
      <c r="A378" s="196">
        <v>1</v>
      </c>
      <c r="B378">
        <v>6</v>
      </c>
      <c r="C378" s="196">
        <v>18</v>
      </c>
      <c r="D378" s="196">
        <v>52</v>
      </c>
      <c r="E378" s="197">
        <v>82.394907403418856</v>
      </c>
      <c r="F378" s="197">
        <v>-11.842015828486085</v>
      </c>
      <c r="G378" s="198">
        <v>7.7423503773189739E-2</v>
      </c>
      <c r="H378" s="197">
        <v>85.855472851896792</v>
      </c>
      <c r="I378" s="197">
        <v>4.1999749226423004</v>
      </c>
      <c r="J378" s="198">
        <v>0.58974231587430292</v>
      </c>
    </row>
    <row r="379" spans="1:10">
      <c r="A379" s="196">
        <v>1</v>
      </c>
      <c r="B379">
        <v>6</v>
      </c>
      <c r="C379" s="196">
        <v>18</v>
      </c>
      <c r="D379" s="196">
        <v>54</v>
      </c>
      <c r="E379" s="197">
        <v>93.001605445167698</v>
      </c>
      <c r="F379" s="197">
        <v>4.4570916175883921</v>
      </c>
      <c r="G379" s="198">
        <v>0.12459849294636527</v>
      </c>
      <c r="H379" s="197">
        <v>90.971877813468211</v>
      </c>
      <c r="I379" s="197">
        <v>-2.0297276316994868</v>
      </c>
      <c r="J379" s="198">
        <v>4.642858547814167E-3</v>
      </c>
    </row>
    <row r="380" spans="1:10">
      <c r="A380" s="196">
        <v>1</v>
      </c>
      <c r="B380">
        <v>6</v>
      </c>
      <c r="C380" s="196">
        <v>18</v>
      </c>
      <c r="D380" s="196">
        <v>55</v>
      </c>
      <c r="E380" s="197">
        <v>78.200736623430032</v>
      </c>
      <c r="F380" s="197">
        <v>4.4570916175883921</v>
      </c>
      <c r="G380" s="198">
        <v>0.12459849294636527</v>
      </c>
      <c r="H380" s="197">
        <v>76.030080688515355</v>
      </c>
      <c r="I380" s="197">
        <v>-2.7757487060093946</v>
      </c>
      <c r="J380" s="198">
        <v>0.55336385628891605</v>
      </c>
    </row>
    <row r="381" spans="1:10">
      <c r="A381" s="196">
        <v>1</v>
      </c>
      <c r="B381">
        <v>6</v>
      </c>
      <c r="C381" s="196">
        <v>18</v>
      </c>
      <c r="D381" s="196">
        <v>56</v>
      </c>
      <c r="E381" s="197">
        <v>6.497909651834771</v>
      </c>
      <c r="F381" s="197">
        <v>0.14434101907419777</v>
      </c>
      <c r="G381" s="198">
        <v>0.56924726342210796</v>
      </c>
      <c r="H381" s="197">
        <v>6.1699821967075019</v>
      </c>
      <c r="I381" s="197">
        <v>-0.32792745512726906</v>
      </c>
      <c r="J381" s="198">
        <v>0.26537931379960988</v>
      </c>
    </row>
    <row r="382" spans="1:10">
      <c r="A382" s="196">
        <v>1</v>
      </c>
      <c r="B382">
        <v>6</v>
      </c>
      <c r="C382" s="196">
        <v>19</v>
      </c>
      <c r="D382" s="196">
        <v>51</v>
      </c>
      <c r="E382" s="197">
        <v>20.121827357792366</v>
      </c>
      <c r="F382" s="197">
        <v>1.1321222679329015</v>
      </c>
      <c r="G382" s="198">
        <v>7.8960036237958229E-4</v>
      </c>
      <c r="H382" s="197">
        <v>20.752716357792373</v>
      </c>
      <c r="I382" s="197">
        <v>0.63088900000000692</v>
      </c>
      <c r="J382" s="198">
        <v>6.6652804777731708E-2</v>
      </c>
    </row>
    <row r="383" spans="1:10">
      <c r="A383" s="196">
        <v>1</v>
      </c>
      <c r="B383">
        <v>6</v>
      </c>
      <c r="C383" s="196">
        <v>19</v>
      </c>
      <c r="D383" s="196">
        <v>52</v>
      </c>
      <c r="E383" s="197">
        <v>77.437092602352848</v>
      </c>
      <c r="F383" s="197">
        <v>-0.90982200854050965</v>
      </c>
      <c r="G383" s="198">
        <v>0.8878302912964926</v>
      </c>
      <c r="H383" s="197">
        <v>71.824535886772097</v>
      </c>
      <c r="I383" s="197">
        <v>-7.2478918396404479</v>
      </c>
      <c r="J383" s="198">
        <v>0.47276702376025515</v>
      </c>
    </row>
    <row r="384" spans="1:10">
      <c r="A384" s="196">
        <v>1</v>
      </c>
      <c r="B384">
        <v>6</v>
      </c>
      <c r="C384" s="196">
        <v>19</v>
      </c>
      <c r="D384" s="196">
        <v>54</v>
      </c>
      <c r="E384" s="197">
        <v>93.661351369260501</v>
      </c>
      <c r="F384" s="197">
        <v>0.34772520405837748</v>
      </c>
      <c r="G384" s="198">
        <v>0.9060358002559189</v>
      </c>
      <c r="H384" s="197">
        <v>97.167231698078055</v>
      </c>
      <c r="I384" s="197">
        <v>3.505880328817554</v>
      </c>
      <c r="J384" s="198">
        <v>7.485727346926517E-2</v>
      </c>
    </row>
    <row r="385" spans="1:10">
      <c r="A385" s="196">
        <v>1</v>
      </c>
      <c r="B385">
        <v>6</v>
      </c>
      <c r="C385" s="196">
        <v>19</v>
      </c>
      <c r="D385" s="196">
        <v>55</v>
      </c>
      <c r="E385" s="197">
        <v>75.82869024824619</v>
      </c>
      <c r="F385" s="197">
        <v>0.34772520405837748</v>
      </c>
      <c r="G385" s="198">
        <v>0.9060358002559189</v>
      </c>
      <c r="H385" s="197">
        <v>79.670217590755044</v>
      </c>
      <c r="I385" s="197">
        <v>5.0660605239686323</v>
      </c>
      <c r="J385" s="198">
        <v>0.41052939475563799</v>
      </c>
    </row>
    <row r="386" spans="1:10">
      <c r="A386" s="196">
        <v>1</v>
      </c>
      <c r="B386">
        <v>6</v>
      </c>
      <c r="C386" s="196">
        <v>19</v>
      </c>
      <c r="D386" s="196">
        <v>56</v>
      </c>
      <c r="E386" s="197">
        <v>4.9886173663284605</v>
      </c>
      <c r="F386" s="197">
        <v>0.17793917674660509</v>
      </c>
      <c r="G386" s="198">
        <v>0.41685881584877127</v>
      </c>
      <c r="H386" s="197">
        <v>5.3717691190652186</v>
      </c>
      <c r="I386" s="197">
        <v>0.38315175273675806</v>
      </c>
      <c r="J386" s="198">
        <v>0.2250719252626161</v>
      </c>
    </row>
    <row r="387" spans="1:10">
      <c r="A387" s="196">
        <v>1</v>
      </c>
      <c r="B387">
        <v>16</v>
      </c>
      <c r="C387" s="196">
        <v>13</v>
      </c>
      <c r="D387" s="196">
        <v>51</v>
      </c>
      <c r="E387" s="197">
        <v>20.727972348128226</v>
      </c>
      <c r="F387" s="197">
        <v>0.97093506113934203</v>
      </c>
      <c r="G387" s="198">
        <v>2.2662385408232636E-4</v>
      </c>
      <c r="H387" s="197">
        <v>21.847812298128233</v>
      </c>
      <c r="I387" s="197">
        <v>1.1198399500000065</v>
      </c>
      <c r="J387" s="198">
        <v>1.7932161612157591E-3</v>
      </c>
    </row>
    <row r="388" spans="1:10">
      <c r="A388" s="196">
        <v>1</v>
      </c>
      <c r="B388">
        <v>16</v>
      </c>
      <c r="C388" s="196">
        <v>13</v>
      </c>
      <c r="D388" s="196">
        <v>52</v>
      </c>
      <c r="E388" s="197">
        <v>118.97004165900094</v>
      </c>
      <c r="F388" s="197">
        <v>3.2422830791200088</v>
      </c>
      <c r="G388" s="198">
        <v>0.75473447491700785</v>
      </c>
      <c r="H388" s="197">
        <v>116.5376358488713</v>
      </c>
      <c r="I388" s="197">
        <v>-2.0445532137422804</v>
      </c>
      <c r="J388" s="198">
        <v>0.84725083431470916</v>
      </c>
    </row>
    <row r="389" spans="1:10">
      <c r="A389" s="196">
        <v>1</v>
      </c>
      <c r="B389">
        <v>16</v>
      </c>
      <c r="C389" s="196">
        <v>13</v>
      </c>
      <c r="D389" s="196">
        <v>54</v>
      </c>
      <c r="E389" s="197">
        <v>84.256858605922986</v>
      </c>
      <c r="F389" s="197">
        <v>0.26167681260055814</v>
      </c>
      <c r="G389" s="198">
        <v>0.77266214827240121</v>
      </c>
      <c r="H389" s="197">
        <v>78.094908857343086</v>
      </c>
      <c r="I389" s="197">
        <v>-6.1619497485799002</v>
      </c>
      <c r="J389" s="198">
        <v>8.7689048820241162E-3</v>
      </c>
    </row>
    <row r="390" spans="1:10">
      <c r="A390" s="196">
        <v>1</v>
      </c>
      <c r="B390">
        <v>16</v>
      </c>
      <c r="C390" s="196">
        <v>13</v>
      </c>
      <c r="D390" s="196">
        <v>55</v>
      </c>
      <c r="E390" s="197">
        <v>97.35485932137388</v>
      </c>
      <c r="F390" s="197">
        <v>0.26167681260055814</v>
      </c>
      <c r="G390" s="198">
        <v>0.77266214827240121</v>
      </c>
      <c r="H390" s="197">
        <v>97.974627779735997</v>
      </c>
      <c r="I390" s="197">
        <v>0.63660762563091133</v>
      </c>
      <c r="J390" s="198">
        <v>0.55194405102774113</v>
      </c>
    </row>
    <row r="391" spans="1:10">
      <c r="A391" s="196">
        <v>1</v>
      </c>
      <c r="B391">
        <v>16</v>
      </c>
      <c r="C391" s="196">
        <v>13</v>
      </c>
      <c r="D391" s="196">
        <v>56</v>
      </c>
      <c r="E391" s="197">
        <v>5.744330545209797</v>
      </c>
      <c r="F391" s="197">
        <v>-0.60620117476449098</v>
      </c>
      <c r="G391" s="198">
        <v>1.0317282003925801E-3</v>
      </c>
      <c r="H391" s="197">
        <v>5.3783809194822272</v>
      </c>
      <c r="I391" s="197">
        <v>-0.36594962572756984</v>
      </c>
      <c r="J391" s="198">
        <v>5.5820720176698167E-2</v>
      </c>
    </row>
    <row r="392" spans="1:10">
      <c r="A392" s="196">
        <v>1</v>
      </c>
      <c r="B392">
        <v>16</v>
      </c>
      <c r="C392" s="196">
        <v>14</v>
      </c>
      <c r="D392" s="196">
        <v>51</v>
      </c>
      <c r="E392" s="197">
        <v>11.771330195341799</v>
      </c>
      <c r="F392" s="197">
        <v>0.17367890542740777</v>
      </c>
      <c r="G392" s="198">
        <v>0.45308564896869519</v>
      </c>
      <c r="H392" s="197">
        <v>13.4880911953418</v>
      </c>
      <c r="I392" s="197">
        <v>1.7167610000000018</v>
      </c>
      <c r="J392" s="198">
        <v>3.8009267936301095E-6</v>
      </c>
    </row>
    <row r="393" spans="1:10">
      <c r="A393" s="196">
        <v>1</v>
      </c>
      <c r="B393">
        <v>16</v>
      </c>
      <c r="C393" s="196">
        <v>14</v>
      </c>
      <c r="D393" s="196">
        <v>52</v>
      </c>
      <c r="E393" s="197">
        <v>91.677791674585706</v>
      </c>
      <c r="F393" s="197">
        <v>19.673211915028254</v>
      </c>
      <c r="G393" s="198">
        <v>7.8911629784343285E-3</v>
      </c>
      <c r="H393" s="197">
        <v>84.830212882832001</v>
      </c>
      <c r="I393" s="197">
        <v>-7.4691794672143503</v>
      </c>
      <c r="J393" s="198">
        <v>0.41467058866681883</v>
      </c>
    </row>
    <row r="394" spans="1:10">
      <c r="A394" s="196">
        <v>1</v>
      </c>
      <c r="B394">
        <v>16</v>
      </c>
      <c r="C394" s="196">
        <v>14</v>
      </c>
      <c r="D394" s="196">
        <v>54</v>
      </c>
      <c r="E394" s="197">
        <v>97.423349309554624</v>
      </c>
      <c r="F394" s="197">
        <v>6.0042062314298459</v>
      </c>
      <c r="G394" s="198">
        <v>9.5305270527501346E-3</v>
      </c>
      <c r="H394" s="197">
        <v>100.13986696160563</v>
      </c>
      <c r="I394" s="197">
        <v>2.7165176520510101</v>
      </c>
      <c r="J394" s="198">
        <v>1.586001400186136E-2</v>
      </c>
    </row>
    <row r="395" spans="1:10">
      <c r="A395" s="196">
        <v>1</v>
      </c>
      <c r="B395">
        <v>16</v>
      </c>
      <c r="C395" s="196">
        <v>14</v>
      </c>
      <c r="D395" s="196">
        <v>55</v>
      </c>
      <c r="E395" s="197">
        <v>88.108215053381983</v>
      </c>
      <c r="F395" s="197">
        <v>6.0042062314298459</v>
      </c>
      <c r="G395" s="198">
        <v>9.5305270527501346E-3</v>
      </c>
      <c r="H395" s="197">
        <v>86.353262119221057</v>
      </c>
      <c r="I395" s="197">
        <v>-1.9918153297029777</v>
      </c>
      <c r="J395" s="198">
        <v>0.4183880181155395</v>
      </c>
    </row>
    <row r="396" spans="1:10">
      <c r="A396" s="196">
        <v>1</v>
      </c>
      <c r="B396">
        <v>16</v>
      </c>
      <c r="C396" s="196">
        <v>14</v>
      </c>
      <c r="D396" s="196">
        <v>56</v>
      </c>
      <c r="E396" s="197">
        <v>6.005058823104628</v>
      </c>
      <c r="F396" s="197">
        <v>0.4332621780799078</v>
      </c>
      <c r="G396" s="198">
        <v>5.9393675570616191E-3</v>
      </c>
      <c r="H396" s="197">
        <v>6.041132010909716</v>
      </c>
      <c r="I396" s="197">
        <v>3.6073187805087947E-2</v>
      </c>
      <c r="J396" s="198">
        <v>0.84419593261720316</v>
      </c>
    </row>
    <row r="397" spans="1:10">
      <c r="A397" s="196">
        <v>1</v>
      </c>
      <c r="B397">
        <v>16</v>
      </c>
      <c r="C397" s="196">
        <v>15</v>
      </c>
      <c r="D397" s="196">
        <v>51</v>
      </c>
      <c r="E397" s="197">
        <v>2.1780138883025688</v>
      </c>
      <c r="F397" s="197">
        <v>1.3470161281946682</v>
      </c>
      <c r="G397" s="198">
        <v>2.2369647507259425E-2</v>
      </c>
      <c r="H397" s="197">
        <v>3.2029832549692339</v>
      </c>
      <c r="I397" s="197">
        <v>1.024969366666665</v>
      </c>
      <c r="J397" s="198">
        <v>3.2183000748201539E-2</v>
      </c>
    </row>
    <row r="398" spans="1:10">
      <c r="A398" s="196">
        <v>1</v>
      </c>
      <c r="B398">
        <v>16</v>
      </c>
      <c r="C398" s="196">
        <v>15</v>
      </c>
      <c r="D398" s="196">
        <v>52</v>
      </c>
      <c r="E398" s="197">
        <v>39.541833342174073</v>
      </c>
      <c r="F398" s="197">
        <v>3.3880589684552334</v>
      </c>
      <c r="G398" s="198">
        <v>0.45725423683185784</v>
      </c>
      <c r="H398" s="197">
        <v>37.830914414188427</v>
      </c>
      <c r="I398" s="197">
        <v>-4.3268578701960001</v>
      </c>
      <c r="J398" s="198">
        <v>0.72289048249261922</v>
      </c>
    </row>
    <row r="399" spans="1:10">
      <c r="A399" s="196">
        <v>1</v>
      </c>
      <c r="B399">
        <v>16</v>
      </c>
      <c r="C399" s="196">
        <v>15</v>
      </c>
      <c r="D399" s="196">
        <v>54</v>
      </c>
      <c r="E399" s="197">
        <v>86.519930422874083</v>
      </c>
      <c r="F399" s="197">
        <v>3.6518082181797222</v>
      </c>
      <c r="G399" s="198">
        <v>0.25804636397480996</v>
      </c>
      <c r="H399" s="197">
        <v>88.312517148636942</v>
      </c>
      <c r="I399" s="197">
        <v>1.7925867257628596</v>
      </c>
      <c r="J399" s="198">
        <v>0.23453903703485013</v>
      </c>
    </row>
    <row r="400" spans="1:10">
      <c r="A400" s="196">
        <v>1</v>
      </c>
      <c r="B400">
        <v>16</v>
      </c>
      <c r="C400" s="196">
        <v>15</v>
      </c>
      <c r="D400" s="196">
        <v>55</v>
      </c>
      <c r="E400" s="197">
        <v>70.883577962570797</v>
      </c>
      <c r="F400" s="197">
        <v>3.6518082181797222</v>
      </c>
      <c r="G400" s="198">
        <v>0.25804636397480996</v>
      </c>
      <c r="H400" s="197">
        <v>69.05032847070629</v>
      </c>
      <c r="I400" s="197">
        <v>-2.5862823866376052</v>
      </c>
      <c r="J400" s="198">
        <v>0.51480055625767251</v>
      </c>
    </row>
    <row r="401" spans="1:10">
      <c r="A401" s="196">
        <v>1</v>
      </c>
      <c r="B401">
        <v>16</v>
      </c>
      <c r="C401" s="196">
        <v>15</v>
      </c>
      <c r="D401" s="196">
        <v>56</v>
      </c>
      <c r="E401" s="197">
        <v>3.0723471381026592</v>
      </c>
      <c r="F401" s="197">
        <v>0.28381223578492676</v>
      </c>
      <c r="G401" s="198">
        <v>0.11375408243748608</v>
      </c>
      <c r="H401" s="197">
        <v>3.0528828104478678</v>
      </c>
      <c r="I401" s="197">
        <v>-1.9464327654791447E-2</v>
      </c>
      <c r="J401" s="198">
        <v>0.908907850451387</v>
      </c>
    </row>
    <row r="402" spans="1:10">
      <c r="A402" s="196">
        <v>1</v>
      </c>
      <c r="B402">
        <v>16</v>
      </c>
      <c r="C402" s="196">
        <v>16</v>
      </c>
      <c r="D402" s="196">
        <v>51</v>
      </c>
      <c r="E402" s="197">
        <v>-3.0147940775738831</v>
      </c>
      <c r="F402" s="197">
        <v>0.40300565798014787</v>
      </c>
      <c r="G402" s="198">
        <v>0.40255790079363563</v>
      </c>
      <c r="H402" s="197">
        <v>-1.4137662549199208</v>
      </c>
      <c r="I402" s="197">
        <v>1.2</v>
      </c>
      <c r="J402" s="198">
        <v>0.01</v>
      </c>
    </row>
    <row r="403" spans="1:10">
      <c r="A403" s="196">
        <v>1</v>
      </c>
      <c r="B403">
        <v>16</v>
      </c>
      <c r="C403" s="196">
        <v>16</v>
      </c>
      <c r="D403" s="196">
        <v>52</v>
      </c>
      <c r="E403" s="197">
        <v>98.898624996094355</v>
      </c>
      <c r="F403" s="197">
        <v>4.5656423762553606</v>
      </c>
      <c r="G403" s="198">
        <v>0.57275416590430228</v>
      </c>
      <c r="H403" s="197">
        <v>112.6543218494689</v>
      </c>
      <c r="I403" s="197">
        <v>13.908885845397521</v>
      </c>
      <c r="J403" s="198">
        <v>6.2551620794773846E-2</v>
      </c>
    </row>
    <row r="404" spans="1:10">
      <c r="A404" s="196">
        <v>1</v>
      </c>
      <c r="B404">
        <v>16</v>
      </c>
      <c r="C404" s="196">
        <v>16</v>
      </c>
      <c r="D404" s="196">
        <v>54</v>
      </c>
      <c r="E404" s="197">
        <v>90.509840424143889</v>
      </c>
      <c r="F404" s="197">
        <v>-0.71144378932160313</v>
      </c>
      <c r="G404" s="198">
        <v>0.48322013562549382</v>
      </c>
      <c r="H404" s="197">
        <v>89.557165750205058</v>
      </c>
      <c r="I404" s="197">
        <v>-0.9526746739388301</v>
      </c>
      <c r="J404" s="198">
        <v>0.5880018681684871</v>
      </c>
    </row>
    <row r="405" spans="1:10">
      <c r="A405" s="196">
        <v>1</v>
      </c>
      <c r="B405">
        <v>16</v>
      </c>
      <c r="C405" s="196">
        <v>16</v>
      </c>
      <c r="D405" s="196">
        <v>55</v>
      </c>
      <c r="E405" s="197">
        <v>94.366448994780967</v>
      </c>
      <c r="F405" s="197">
        <v>-0.71144378932160313</v>
      </c>
      <c r="G405" s="198">
        <v>0.48322013562549382</v>
      </c>
      <c r="H405" s="197">
        <v>94.315187193508706</v>
      </c>
      <c r="I405" s="197">
        <v>-5.432206236253638E-2</v>
      </c>
      <c r="J405" s="198">
        <v>0.91957867848517316</v>
      </c>
    </row>
    <row r="406" spans="1:10">
      <c r="A406" s="196">
        <v>1</v>
      </c>
      <c r="B406">
        <v>16</v>
      </c>
      <c r="C406" s="196">
        <v>16</v>
      </c>
      <c r="D406" s="196">
        <v>56</v>
      </c>
      <c r="E406" s="197">
        <v>24.728085335350862</v>
      </c>
      <c r="F406" s="197">
        <v>0.43871713068577234</v>
      </c>
      <c r="G406" s="198">
        <v>0.56557586006754301</v>
      </c>
      <c r="H406" s="197">
        <v>24.432699763110971</v>
      </c>
      <c r="I406" s="197">
        <v>0.43871713068577234</v>
      </c>
      <c r="J406" s="198">
        <v>0.56557586006754301</v>
      </c>
    </row>
    <row r="407" spans="1:10">
      <c r="A407" s="196">
        <v>1</v>
      </c>
      <c r="B407">
        <v>16</v>
      </c>
      <c r="C407" s="196">
        <v>17</v>
      </c>
      <c r="D407" s="196">
        <v>51</v>
      </c>
      <c r="E407" s="197">
        <v>8.7891596479105054</v>
      </c>
      <c r="F407" s="197">
        <v>0.5355346949482398</v>
      </c>
      <c r="G407" s="198">
        <v>5.2300262641824226E-2</v>
      </c>
      <c r="H407" s="197">
        <v>9.6358858923549491</v>
      </c>
      <c r="I407" s="197">
        <v>0.84672624444444367</v>
      </c>
      <c r="J407" s="198">
        <v>3.8009548694343138E-4</v>
      </c>
    </row>
    <row r="408" spans="1:10">
      <c r="A408" s="196">
        <v>1</v>
      </c>
      <c r="B408">
        <v>16</v>
      </c>
      <c r="C408" s="196">
        <v>17</v>
      </c>
      <c r="D408" s="196">
        <v>52</v>
      </c>
      <c r="E408" s="197">
        <v>115.68975595150209</v>
      </c>
      <c r="F408" s="197">
        <v>3.381294692446815</v>
      </c>
      <c r="G408" s="198">
        <v>0.66508953539626448</v>
      </c>
      <c r="H408" s="197">
        <v>105.98956666188982</v>
      </c>
      <c r="I408" s="197">
        <v>-8.3846570595919001</v>
      </c>
      <c r="J408" s="198">
        <v>0.16081190690637892</v>
      </c>
    </row>
    <row r="409" spans="1:10">
      <c r="A409" s="196">
        <v>1</v>
      </c>
      <c r="B409">
        <v>16</v>
      </c>
      <c r="C409" s="196">
        <v>17</v>
      </c>
      <c r="D409" s="196">
        <v>54</v>
      </c>
      <c r="E409" s="197">
        <v>96.17295162526257</v>
      </c>
      <c r="F409" s="197">
        <v>6.3693338058296356E-2</v>
      </c>
      <c r="G409" s="198">
        <v>0.94418770050640999</v>
      </c>
      <c r="H409" s="197">
        <v>90.582850567604979</v>
      </c>
      <c r="I409" s="197">
        <v>-5.5901010576575914</v>
      </c>
      <c r="J409" s="198">
        <v>4.8763820139226081E-4</v>
      </c>
    </row>
    <row r="410" spans="1:10">
      <c r="A410" s="196">
        <v>1</v>
      </c>
      <c r="B410">
        <v>16</v>
      </c>
      <c r="C410" s="196">
        <v>17</v>
      </c>
      <c r="D410" s="196">
        <v>55</v>
      </c>
      <c r="E410" s="197">
        <v>96.811916025141898</v>
      </c>
      <c r="F410" s="197">
        <v>6.3693338058296356E-2</v>
      </c>
      <c r="G410" s="198">
        <v>0.94418770050640999</v>
      </c>
      <c r="H410" s="197">
        <v>96.505882293206838</v>
      </c>
      <c r="I410" s="197">
        <v>-0.31611163635640677</v>
      </c>
      <c r="J410" s="198">
        <v>0.28373387984030318</v>
      </c>
    </row>
    <row r="411" spans="1:10">
      <c r="A411" s="196">
        <v>1</v>
      </c>
      <c r="B411">
        <v>16</v>
      </c>
      <c r="C411" s="196">
        <v>17</v>
      </c>
      <c r="D411" s="196">
        <v>56</v>
      </c>
      <c r="E411" s="197">
        <v>33.536310295257984</v>
      </c>
      <c r="F411" s="197">
        <v>-9.4990861682625549E-2</v>
      </c>
      <c r="G411" s="198">
        <v>0.85787549343427327</v>
      </c>
      <c r="H411" s="197">
        <v>31.445882644735185</v>
      </c>
      <c r="I411" s="197">
        <v>-2.0904276505227983</v>
      </c>
      <c r="J411" s="198">
        <v>3.7129721926962528E-4</v>
      </c>
    </row>
    <row r="412" spans="1:10">
      <c r="A412" s="196">
        <v>1</v>
      </c>
      <c r="B412">
        <v>16</v>
      </c>
      <c r="C412" s="196">
        <v>18</v>
      </c>
      <c r="D412" s="196">
        <v>51</v>
      </c>
      <c r="E412" s="197">
        <v>18.932013890080977</v>
      </c>
      <c r="F412" s="197">
        <v>0.59610215275650713</v>
      </c>
      <c r="G412" s="198">
        <v>7.8240605648941974E-2</v>
      </c>
      <c r="H412" s="197">
        <v>20.088807823414314</v>
      </c>
      <c r="I412" s="197">
        <v>1.1567939333333364</v>
      </c>
      <c r="J412" s="198">
        <v>3.2812415456994696E-4</v>
      </c>
    </row>
    <row r="413" spans="1:10">
      <c r="A413" s="196">
        <v>1</v>
      </c>
      <c r="B413">
        <v>16</v>
      </c>
      <c r="C413" s="196">
        <v>18</v>
      </c>
      <c r="D413" s="196">
        <v>52</v>
      </c>
      <c r="E413" s="197">
        <v>77.939624995879512</v>
      </c>
      <c r="F413" s="197">
        <v>-8.0216156933664955</v>
      </c>
      <c r="G413" s="198">
        <v>0.16470587655267055</v>
      </c>
      <c r="H413" s="197">
        <v>74.641837807783347</v>
      </c>
      <c r="I413" s="197">
        <v>-4.231207409928528</v>
      </c>
      <c r="J413" s="198">
        <v>0.65838345188660763</v>
      </c>
    </row>
    <row r="414" spans="1:10">
      <c r="A414" s="196">
        <v>1</v>
      </c>
      <c r="B414">
        <v>16</v>
      </c>
      <c r="C414" s="196">
        <v>18</v>
      </c>
      <c r="D414" s="196">
        <v>54</v>
      </c>
      <c r="E414" s="197">
        <v>89.217564725539248</v>
      </c>
      <c r="F414" s="197">
        <v>3.4362657131729075</v>
      </c>
      <c r="G414" s="198">
        <v>0.16759570027602844</v>
      </c>
      <c r="H414" s="197">
        <v>84.223548270846052</v>
      </c>
      <c r="I414" s="197">
        <v>-4.9940164546931953</v>
      </c>
      <c r="J414" s="198">
        <v>5.7872823316660769E-4</v>
      </c>
    </row>
    <row r="415" spans="1:10">
      <c r="A415" s="196">
        <v>1</v>
      </c>
      <c r="B415">
        <v>16</v>
      </c>
      <c r="C415" s="196">
        <v>18</v>
      </c>
      <c r="D415" s="196">
        <v>55</v>
      </c>
      <c r="E415" s="197">
        <v>80.512672898090145</v>
      </c>
      <c r="F415" s="197">
        <v>3.4362657131729075</v>
      </c>
      <c r="G415" s="198">
        <v>0.16759570027602844</v>
      </c>
      <c r="H415" s="197">
        <v>81.687014686381971</v>
      </c>
      <c r="I415" s="197">
        <v>1.4585800545688792</v>
      </c>
      <c r="J415" s="198">
        <v>0.68978971535969236</v>
      </c>
    </row>
    <row r="416" spans="1:10">
      <c r="A416" s="196">
        <v>1</v>
      </c>
      <c r="B416">
        <v>16</v>
      </c>
      <c r="C416" s="196">
        <v>18</v>
      </c>
      <c r="D416" s="196">
        <v>56</v>
      </c>
      <c r="E416" s="197">
        <v>6.4253837233545079</v>
      </c>
      <c r="F416" s="197">
        <v>-3.3933600951898499E-2</v>
      </c>
      <c r="G416" s="198">
        <v>0.88851414562396536</v>
      </c>
      <c r="H416" s="197">
        <v>6.1379185415802571</v>
      </c>
      <c r="I416" s="197">
        <v>-0.28746518177425084</v>
      </c>
      <c r="J416" s="198">
        <v>0.26047760018099286</v>
      </c>
    </row>
    <row r="417" spans="1:10">
      <c r="A417" s="196">
        <v>1</v>
      </c>
      <c r="B417">
        <v>16</v>
      </c>
      <c r="C417" s="196">
        <v>19</v>
      </c>
      <c r="D417" s="196">
        <v>51</v>
      </c>
      <c r="E417" s="197">
        <v>21.068212361079397</v>
      </c>
      <c r="F417" s="197">
        <v>1.0431743089877927</v>
      </c>
      <c r="G417" s="198">
        <v>2.4577242253237806E-3</v>
      </c>
      <c r="H417" s="197">
        <v>21.997480727746062</v>
      </c>
      <c r="I417" s="197">
        <v>0.92926836666666546</v>
      </c>
      <c r="J417" s="198">
        <v>1.3707824412803367E-2</v>
      </c>
    </row>
    <row r="418" spans="1:10">
      <c r="A418" s="196">
        <v>1</v>
      </c>
      <c r="B418">
        <v>16</v>
      </c>
      <c r="C418" s="196">
        <v>19</v>
      </c>
      <c r="D418" s="196">
        <v>52</v>
      </c>
      <c r="E418" s="197">
        <v>66.824874995231312</v>
      </c>
      <c r="F418" s="197">
        <v>4.2152752980041717</v>
      </c>
      <c r="G418" s="198">
        <v>0.61164703956046718</v>
      </c>
      <c r="H418" s="197">
        <v>63.149323933828214</v>
      </c>
      <c r="I418" s="197">
        <v>-5.5002737553424357</v>
      </c>
      <c r="J418" s="198">
        <v>0.62078031057862393</v>
      </c>
    </row>
    <row r="419" spans="1:10">
      <c r="A419" s="196">
        <v>1</v>
      </c>
      <c r="B419">
        <v>16</v>
      </c>
      <c r="C419" s="196">
        <v>19</v>
      </c>
      <c r="D419" s="196">
        <v>54</v>
      </c>
      <c r="E419" s="197">
        <v>95.766687105318255</v>
      </c>
      <c r="F419" s="197">
        <v>-2.0461892663901295</v>
      </c>
      <c r="G419" s="198">
        <v>0.56351163753068123</v>
      </c>
      <c r="H419" s="197">
        <v>98.730893662153434</v>
      </c>
      <c r="I419" s="197">
        <v>2.9642065568351796</v>
      </c>
      <c r="J419" s="198">
        <v>4.1004510639566998E-2</v>
      </c>
    </row>
    <row r="420" spans="1:10">
      <c r="A420" s="196">
        <v>1</v>
      </c>
      <c r="B420">
        <v>16</v>
      </c>
      <c r="C420" s="196">
        <v>19</v>
      </c>
      <c r="D420" s="196">
        <v>55</v>
      </c>
      <c r="E420" s="197">
        <v>79.70308368976643</v>
      </c>
      <c r="F420" s="197">
        <v>-2.0461892663901295</v>
      </c>
      <c r="G420" s="198">
        <v>0.56351163753068123</v>
      </c>
      <c r="H420" s="197">
        <v>81.411305485917225</v>
      </c>
      <c r="I420" s="197">
        <v>2.1432317509819541</v>
      </c>
      <c r="J420" s="198">
        <v>0.51264010036475693</v>
      </c>
    </row>
    <row r="421" spans="1:10">
      <c r="A421" s="196">
        <v>1</v>
      </c>
      <c r="B421">
        <v>16</v>
      </c>
      <c r="C421" s="196">
        <v>19</v>
      </c>
      <c r="D421" s="196">
        <v>56</v>
      </c>
      <c r="E421" s="197">
        <v>5.3550534591408123</v>
      </c>
      <c r="F421" s="197">
        <v>-9.9876641551768397E-2</v>
      </c>
      <c r="G421" s="198">
        <v>0.69458459355654478</v>
      </c>
      <c r="H421" s="197">
        <v>5.6484808680382503</v>
      </c>
      <c r="I421" s="197">
        <v>0.29342740889743801</v>
      </c>
      <c r="J421" s="198">
        <v>0.18243393363867966</v>
      </c>
    </row>
    <row r="422" spans="1:10">
      <c r="A422" s="196">
        <v>1</v>
      </c>
      <c r="B422">
        <v>13</v>
      </c>
      <c r="C422" s="196">
        <v>13</v>
      </c>
      <c r="D422" s="196">
        <v>51</v>
      </c>
      <c r="E422" s="197">
        <v>21.157571688484548</v>
      </c>
      <c r="F422" s="197">
        <v>0.89069934944489404</v>
      </c>
      <c r="G422" s="198">
        <v>1.585678999061736E-3</v>
      </c>
      <c r="H422" s="197">
        <v>22.176980305151218</v>
      </c>
      <c r="I422" s="197">
        <v>1.01940861666667</v>
      </c>
      <c r="J422" s="198">
        <v>1.4772667377616931E-2</v>
      </c>
    </row>
    <row r="423" spans="1:10">
      <c r="A423" s="196">
        <v>1</v>
      </c>
      <c r="B423">
        <v>13</v>
      </c>
      <c r="C423" s="196">
        <v>13</v>
      </c>
      <c r="D423" s="196">
        <v>52</v>
      </c>
      <c r="E423" s="197">
        <v>97.691111122009644</v>
      </c>
      <c r="F423" s="197">
        <v>-3.6974564151763167</v>
      </c>
      <c r="G423" s="198">
        <v>0.61258151487571144</v>
      </c>
      <c r="H423" s="197">
        <v>100.11483525131071</v>
      </c>
      <c r="I423" s="197">
        <v>2.4810078434607941</v>
      </c>
      <c r="J423" s="198">
        <v>0.85840901686551041</v>
      </c>
    </row>
    <row r="424" spans="1:10">
      <c r="A424" s="196">
        <v>1</v>
      </c>
      <c r="B424">
        <v>13</v>
      </c>
      <c r="C424" s="196">
        <v>13</v>
      </c>
      <c r="D424" s="196">
        <v>54</v>
      </c>
      <c r="E424" s="197">
        <v>80.487175910407331</v>
      </c>
      <c r="F424" s="197">
        <v>-0.11248357281258185</v>
      </c>
      <c r="G424" s="198">
        <v>0.88746070487779039</v>
      </c>
      <c r="H424" s="197">
        <v>73.447225371930671</v>
      </c>
      <c r="I424" s="197">
        <v>-7.0399505384766599</v>
      </c>
      <c r="J424" s="198">
        <v>3.1855555064820636E-2</v>
      </c>
    </row>
    <row r="425" spans="1:10">
      <c r="A425" s="196">
        <v>1</v>
      </c>
      <c r="B425">
        <v>13</v>
      </c>
      <c r="C425" s="196">
        <v>13</v>
      </c>
      <c r="D425" s="196">
        <v>55</v>
      </c>
      <c r="E425" s="197">
        <v>97.173438020575986</v>
      </c>
      <c r="F425" s="197">
        <v>-0.11248357281258185</v>
      </c>
      <c r="G425" s="198">
        <v>0.88746070487779039</v>
      </c>
      <c r="H425" s="197">
        <v>97.128951970021717</v>
      </c>
      <c r="I425" s="197">
        <v>-4.578005210112239E-2</v>
      </c>
      <c r="J425" s="198">
        <v>0.97801616710490902</v>
      </c>
    </row>
    <row r="426" spans="1:10">
      <c r="A426" s="196">
        <v>1</v>
      </c>
      <c r="B426">
        <v>13</v>
      </c>
      <c r="C426" s="196">
        <v>13</v>
      </c>
      <c r="D426" s="196">
        <v>56</v>
      </c>
      <c r="E426" s="197">
        <v>5.4811352623668252</v>
      </c>
      <c r="F426" s="197">
        <v>-0.6196583752474637</v>
      </c>
      <c r="G426" s="198">
        <v>3.3007894601930795E-3</v>
      </c>
      <c r="H426" s="197">
        <v>4.6684382233079331</v>
      </c>
      <c r="I426" s="197">
        <v>-0.81269703905889212</v>
      </c>
      <c r="J426" s="198">
        <v>2.0137027028323878E-3</v>
      </c>
    </row>
    <row r="427" spans="1:10">
      <c r="A427" s="196">
        <v>1</v>
      </c>
      <c r="B427">
        <v>13</v>
      </c>
      <c r="C427" s="196">
        <v>14</v>
      </c>
      <c r="D427" s="196">
        <v>51</v>
      </c>
      <c r="E427" s="197">
        <v>11.433850361818367</v>
      </c>
      <c r="F427" s="197">
        <v>0.39397098472357533</v>
      </c>
      <c r="G427" s="198">
        <v>0.13513034243567146</v>
      </c>
      <c r="H427" s="197">
        <v>13.201120411818367</v>
      </c>
      <c r="I427" s="197">
        <v>1.7672700500000005</v>
      </c>
      <c r="J427" s="198">
        <v>9.1162722850908422E-6</v>
      </c>
    </row>
    <row r="428" spans="1:10">
      <c r="A428" s="196">
        <v>1</v>
      </c>
      <c r="B428">
        <v>13</v>
      </c>
      <c r="C428" s="196">
        <v>14</v>
      </c>
      <c r="D428" s="196">
        <v>52</v>
      </c>
      <c r="E428" s="197">
        <v>87.960722232748665</v>
      </c>
      <c r="F428" s="197">
        <v>16.497823520545822</v>
      </c>
      <c r="G428" s="198">
        <v>2.7189427495107017E-2</v>
      </c>
      <c r="H428" s="197">
        <v>77.850560403210011</v>
      </c>
      <c r="I428" s="197">
        <v>-11.493950450732594</v>
      </c>
      <c r="J428" s="198">
        <v>0.27697980289386903</v>
      </c>
    </row>
    <row r="429" spans="1:10">
      <c r="A429" s="196">
        <v>1</v>
      </c>
      <c r="B429">
        <v>13</v>
      </c>
      <c r="C429" s="196">
        <v>14</v>
      </c>
      <c r="D429" s="196">
        <v>54</v>
      </c>
      <c r="E429" s="197">
        <v>96.15490384269178</v>
      </c>
      <c r="F429" s="197">
        <v>4.9769473502344166</v>
      </c>
      <c r="G429" s="198">
        <v>1.3636623739336981E-2</v>
      </c>
      <c r="H429" s="197">
        <v>100.20413576025352</v>
      </c>
      <c r="I429" s="197">
        <v>4.0492319175617411</v>
      </c>
      <c r="J429" s="198">
        <v>1.2829698286543709E-3</v>
      </c>
    </row>
    <row r="430" spans="1:10">
      <c r="A430" s="196">
        <v>1</v>
      </c>
      <c r="B430">
        <v>13</v>
      </c>
      <c r="C430" s="196">
        <v>14</v>
      </c>
      <c r="D430" s="196">
        <v>55</v>
      </c>
      <c r="E430" s="197">
        <v>87.424369204441348</v>
      </c>
      <c r="F430" s="197">
        <v>4.9769473502344166</v>
      </c>
      <c r="G430" s="198">
        <v>1.3636623739336981E-2</v>
      </c>
      <c r="H430" s="197">
        <v>82.703551320403321</v>
      </c>
      <c r="I430" s="197">
        <v>-5.3998878424829391</v>
      </c>
      <c r="J430" s="198">
        <v>8.5346265095003288E-2</v>
      </c>
    </row>
    <row r="431" spans="1:10">
      <c r="A431" s="196">
        <v>1</v>
      </c>
      <c r="B431">
        <v>13</v>
      </c>
      <c r="C431" s="196">
        <v>14</v>
      </c>
      <c r="D431" s="196">
        <v>56</v>
      </c>
      <c r="E431" s="197">
        <v>5.8776395906893475</v>
      </c>
      <c r="F431" s="197">
        <v>0.41108356547958758</v>
      </c>
      <c r="G431" s="198">
        <v>1.3810763763788549E-3</v>
      </c>
      <c r="H431" s="197">
        <v>5.0278119856252887</v>
      </c>
      <c r="I431" s="197">
        <v>-0.84982760506405874</v>
      </c>
      <c r="J431" s="198">
        <v>1.1388292856591227E-3</v>
      </c>
    </row>
    <row r="432" spans="1:10">
      <c r="A432" s="196">
        <v>1</v>
      </c>
      <c r="B432">
        <v>13</v>
      </c>
      <c r="C432" s="196">
        <v>15</v>
      </c>
      <c r="D432" s="196">
        <v>51</v>
      </c>
      <c r="E432" s="197">
        <v>1.325666667661733</v>
      </c>
      <c r="F432" s="197">
        <v>1.2897046118424018</v>
      </c>
      <c r="G432" s="198">
        <v>3.2126538430354061E-2</v>
      </c>
      <c r="H432" s="197">
        <v>2.8563165343284003</v>
      </c>
      <c r="I432" s="197">
        <v>1.5306498666666672</v>
      </c>
      <c r="J432" s="198">
        <v>8.351282605501836E-3</v>
      </c>
    </row>
    <row r="433" spans="1:10">
      <c r="A433" s="196">
        <v>1</v>
      </c>
      <c r="B433">
        <v>13</v>
      </c>
      <c r="C433" s="196">
        <v>15</v>
      </c>
      <c r="D433" s="196">
        <v>52</v>
      </c>
      <c r="E433" s="197">
        <v>45.193833341484677</v>
      </c>
      <c r="F433" s="197">
        <v>-0.77359657831749706</v>
      </c>
      <c r="G433" s="198">
        <v>0.88351656973243364</v>
      </c>
      <c r="H433" s="197">
        <v>51.839925122067939</v>
      </c>
      <c r="I433" s="197">
        <v>14.70574919008393</v>
      </c>
      <c r="J433" s="198">
        <v>0.25808187753532441</v>
      </c>
    </row>
    <row r="434" spans="1:10">
      <c r="A434" s="196">
        <v>1</v>
      </c>
      <c r="B434">
        <v>13</v>
      </c>
      <c r="C434" s="196">
        <v>15</v>
      </c>
      <c r="D434" s="196">
        <v>54</v>
      </c>
      <c r="E434" s="197">
        <v>83.099562528405983</v>
      </c>
      <c r="F434" s="197">
        <v>5.400429466794793</v>
      </c>
      <c r="G434" s="198">
        <v>0.14766643548270875</v>
      </c>
      <c r="H434" s="197">
        <v>89.760645535468981</v>
      </c>
      <c r="I434" s="197">
        <v>6.6610830070629987</v>
      </c>
      <c r="J434" s="198">
        <v>1.7771048318645465E-2</v>
      </c>
    </row>
    <row r="435" spans="1:10">
      <c r="A435" s="196">
        <v>1</v>
      </c>
      <c r="B435">
        <v>13</v>
      </c>
      <c r="C435" s="196">
        <v>15</v>
      </c>
      <c r="D435" s="196">
        <v>55</v>
      </c>
      <c r="E435" s="197">
        <v>73.468051408184095</v>
      </c>
      <c r="F435" s="197">
        <v>5.400429466794793</v>
      </c>
      <c r="G435" s="198">
        <v>0.14766643548270875</v>
      </c>
      <c r="H435" s="197">
        <v>78.182938027999924</v>
      </c>
      <c r="I435" s="197">
        <v>6.4176012966782059</v>
      </c>
      <c r="J435" s="198">
        <v>0.18987410971176399</v>
      </c>
    </row>
    <row r="436" spans="1:10">
      <c r="A436" s="196">
        <v>1</v>
      </c>
      <c r="B436">
        <v>13</v>
      </c>
      <c r="C436" s="196">
        <v>15</v>
      </c>
      <c r="D436" s="196">
        <v>56</v>
      </c>
      <c r="E436" s="197">
        <v>3.1128337419352703</v>
      </c>
      <c r="F436" s="197">
        <v>0.24680246815776402</v>
      </c>
      <c r="G436" s="198">
        <v>0.27031480679832698</v>
      </c>
      <c r="H436" s="197">
        <v>3.1569058149565805</v>
      </c>
      <c r="I436" s="197">
        <v>4.4072073021310221E-2</v>
      </c>
      <c r="J436" s="198">
        <v>0.83125159467797316</v>
      </c>
    </row>
    <row r="437" spans="1:10">
      <c r="A437" s="196">
        <v>1</v>
      </c>
      <c r="B437">
        <v>13</v>
      </c>
      <c r="C437" s="196">
        <v>16</v>
      </c>
      <c r="D437" s="196">
        <v>51</v>
      </c>
      <c r="E437" s="197">
        <v>-4.1727095955810025</v>
      </c>
      <c r="F437" s="197">
        <v>0.14098964121859814</v>
      </c>
      <c r="G437" s="198">
        <v>0.77171479410613353</v>
      </c>
      <c r="H437" s="197">
        <v>-1.4137662549199208</v>
      </c>
      <c r="I437" s="197">
        <v>1.2</v>
      </c>
      <c r="J437" s="198">
        <v>0.01</v>
      </c>
    </row>
    <row r="438" spans="1:10">
      <c r="A438" s="196">
        <v>1</v>
      </c>
      <c r="B438">
        <v>13</v>
      </c>
      <c r="C438" s="196">
        <v>16</v>
      </c>
      <c r="D438" s="196">
        <v>52</v>
      </c>
      <c r="E438" s="197">
        <v>125.5181666787569</v>
      </c>
      <c r="F438" s="197">
        <v>0.12413424048384777</v>
      </c>
      <c r="G438" s="198">
        <v>0.98736893840947415</v>
      </c>
      <c r="H438" s="197">
        <v>146.89769221681431</v>
      </c>
      <c r="I438" s="197">
        <v>17.033012912604743</v>
      </c>
      <c r="J438" s="198">
        <v>4.5430933033750509E-2</v>
      </c>
    </row>
    <row r="439" spans="1:10">
      <c r="A439" s="196">
        <v>1</v>
      </c>
      <c r="B439">
        <v>13</v>
      </c>
      <c r="C439" s="196">
        <v>16</v>
      </c>
      <c r="D439" s="196">
        <v>54</v>
      </c>
      <c r="E439" s="197">
        <v>84.593771062187187</v>
      </c>
      <c r="F439" s="197">
        <v>-0.56332929383673713</v>
      </c>
      <c r="G439" s="198">
        <v>0.34195980351984689</v>
      </c>
      <c r="H439" s="197">
        <v>90.567018459583778</v>
      </c>
      <c r="I439" s="197">
        <v>5.9732473973965909</v>
      </c>
      <c r="J439" s="198">
        <v>3.2356491965386903E-2</v>
      </c>
    </row>
    <row r="440" spans="1:10">
      <c r="A440" s="196">
        <v>1</v>
      </c>
      <c r="B440">
        <v>13</v>
      </c>
      <c r="C440" s="196">
        <v>16</v>
      </c>
      <c r="D440" s="196">
        <v>55</v>
      </c>
      <c r="E440" s="197">
        <v>97.509413355464247</v>
      </c>
      <c r="F440" s="197">
        <v>-0.56332929383673713</v>
      </c>
      <c r="G440" s="198">
        <v>0.34195980351984689</v>
      </c>
      <c r="H440" s="197">
        <v>97.241308128358611</v>
      </c>
      <c r="I440" s="197">
        <v>-0.27495317413948378</v>
      </c>
      <c r="J440" s="198">
        <v>0.6982471751592082</v>
      </c>
    </row>
    <row r="441" spans="1:10">
      <c r="A441" s="196">
        <v>1</v>
      </c>
      <c r="B441">
        <v>13</v>
      </c>
      <c r="C441" s="196">
        <v>16</v>
      </c>
      <c r="D441" s="196">
        <v>56</v>
      </c>
      <c r="E441" s="197">
        <v>23.90037280476778</v>
      </c>
      <c r="F441" s="197">
        <v>0.18478732951439186</v>
      </c>
      <c r="G441" s="198">
        <v>0.83371905680627689</v>
      </c>
      <c r="H441" s="197">
        <v>21.142166977261482</v>
      </c>
      <c r="I441" s="197">
        <v>0.18478732951439186</v>
      </c>
      <c r="J441" s="198">
        <v>0.83371905680627689</v>
      </c>
    </row>
    <row r="442" spans="1:10">
      <c r="A442" s="196">
        <v>1</v>
      </c>
      <c r="B442">
        <v>13</v>
      </c>
      <c r="C442" s="196">
        <v>17</v>
      </c>
      <c r="D442" s="196">
        <v>51</v>
      </c>
      <c r="E442" s="197">
        <v>8.4976808051624015</v>
      </c>
      <c r="F442" s="197">
        <v>0.46261406950118439</v>
      </c>
      <c r="G442" s="198">
        <v>0.10862693940250945</v>
      </c>
      <c r="H442" s="197">
        <v>9.3606369718290683</v>
      </c>
      <c r="I442" s="197">
        <v>0.86295616666666675</v>
      </c>
      <c r="J442" s="198">
        <v>3.790370119244834E-3</v>
      </c>
    </row>
    <row r="443" spans="1:10">
      <c r="A443" s="196">
        <v>1</v>
      </c>
      <c r="B443">
        <v>13</v>
      </c>
      <c r="C443" s="196">
        <v>17</v>
      </c>
      <c r="D443" s="196">
        <v>52</v>
      </c>
      <c r="E443" s="197">
        <v>120.1671666687789</v>
      </c>
      <c r="F443" s="197">
        <v>2.1586763104340183</v>
      </c>
      <c r="G443" s="198">
        <v>0.77521084463690926</v>
      </c>
      <c r="H443" s="197">
        <v>114.8032567820658</v>
      </c>
      <c r="I443" s="197">
        <v>-4.4637067140792661</v>
      </c>
      <c r="J443" s="198">
        <v>0.52646429119722882</v>
      </c>
    </row>
    <row r="444" spans="1:10">
      <c r="A444" s="196">
        <v>1</v>
      </c>
      <c r="B444">
        <v>13</v>
      </c>
      <c r="C444" s="196">
        <v>17</v>
      </c>
      <c r="D444" s="196">
        <v>54</v>
      </c>
      <c r="E444" s="197">
        <v>96.83310800905457</v>
      </c>
      <c r="F444" s="197">
        <v>3.7460423683930419E-2</v>
      </c>
      <c r="G444" s="198">
        <v>0.95094333303749934</v>
      </c>
      <c r="H444" s="197">
        <v>93.315548747667947</v>
      </c>
      <c r="I444" s="197">
        <v>-3.5175592613866229</v>
      </c>
      <c r="J444" s="198">
        <v>2.237182208396564E-2</v>
      </c>
    </row>
    <row r="445" spans="1:10">
      <c r="A445" s="196">
        <v>1</v>
      </c>
      <c r="B445">
        <v>13</v>
      </c>
      <c r="C445" s="196">
        <v>17</v>
      </c>
      <c r="D445" s="196">
        <v>55</v>
      </c>
      <c r="E445" s="197">
        <v>97.436205437927512</v>
      </c>
      <c r="F445" s="197">
        <v>3.7460423683930419E-2</v>
      </c>
      <c r="G445" s="198">
        <v>0.95094333303749934</v>
      </c>
      <c r="H445" s="197">
        <v>97.504622537424652</v>
      </c>
      <c r="I445" s="197">
        <v>7.0217327521768527E-2</v>
      </c>
      <c r="J445" s="198">
        <v>0.89561128629886466</v>
      </c>
    </row>
    <row r="446" spans="1:10">
      <c r="A446" s="196">
        <v>1</v>
      </c>
      <c r="B446">
        <v>13</v>
      </c>
      <c r="C446" s="196">
        <v>17</v>
      </c>
      <c r="D446" s="196">
        <v>56</v>
      </c>
      <c r="E446" s="197">
        <v>33.964893946009795</v>
      </c>
      <c r="F446" s="197">
        <v>0.21987402549816432</v>
      </c>
      <c r="G446" s="198">
        <v>0.55741534652412672</v>
      </c>
      <c r="H446" s="197">
        <v>31.063497509546611</v>
      </c>
      <c r="I446" s="197">
        <v>-2.9013964364631839</v>
      </c>
      <c r="J446" s="198">
        <v>8.6118194586538198E-5</v>
      </c>
    </row>
    <row r="447" spans="1:10">
      <c r="A447" s="196">
        <v>1</v>
      </c>
      <c r="B447">
        <v>13</v>
      </c>
      <c r="C447" s="196">
        <v>18</v>
      </c>
      <c r="D447" s="196">
        <v>51</v>
      </c>
      <c r="E447" s="197">
        <v>19.599388890972843</v>
      </c>
      <c r="F447" s="197">
        <v>0.38890001484172126</v>
      </c>
      <c r="G447" s="198">
        <v>0.31685111936389843</v>
      </c>
      <c r="H447" s="197">
        <v>20.719996724306167</v>
      </c>
      <c r="I447" s="197">
        <v>1.1206078333333238</v>
      </c>
      <c r="J447" s="198">
        <v>3.4976451631648152E-3</v>
      </c>
    </row>
    <row r="448" spans="1:10">
      <c r="A448" s="196">
        <v>1</v>
      </c>
      <c r="B448">
        <v>13</v>
      </c>
      <c r="C448" s="196">
        <v>18</v>
      </c>
      <c r="D448" s="196">
        <v>52</v>
      </c>
      <c r="E448" s="197">
        <v>63.245777773542549</v>
      </c>
      <c r="F448" s="197">
        <v>-2.2914423474483292</v>
      </c>
      <c r="G448" s="198">
        <v>0.70647762936021219</v>
      </c>
      <c r="H448" s="197">
        <v>68.885086157413085</v>
      </c>
      <c r="I448" s="197">
        <v>8.9164978001576802</v>
      </c>
      <c r="J448" s="198">
        <v>0.4894672997797862</v>
      </c>
    </row>
    <row r="449" spans="1:10">
      <c r="A449" s="196">
        <v>1</v>
      </c>
      <c r="B449">
        <v>13</v>
      </c>
      <c r="C449" s="196">
        <v>18</v>
      </c>
      <c r="D449" s="196">
        <v>54</v>
      </c>
      <c r="E449" s="197">
        <v>83.710722206976328</v>
      </c>
      <c r="F449" s="197">
        <v>0.68496022006778523</v>
      </c>
      <c r="G449" s="198">
        <v>0.75559258430274889</v>
      </c>
      <c r="H449" s="197">
        <v>78.073069069132615</v>
      </c>
      <c r="I449" s="197">
        <v>-5.6376531378437136</v>
      </c>
      <c r="J449" s="198">
        <v>1.0857870992726174E-2</v>
      </c>
    </row>
    <row r="450" spans="1:10">
      <c r="A450" s="196">
        <v>1</v>
      </c>
      <c r="B450">
        <v>13</v>
      </c>
      <c r="C450" s="196">
        <v>18</v>
      </c>
      <c r="D450" s="196">
        <v>55</v>
      </c>
      <c r="E450" s="197">
        <v>85.995618336677254</v>
      </c>
      <c r="F450" s="197">
        <v>0.68496022006778523</v>
      </c>
      <c r="G450" s="198">
        <v>0.75559258430274889</v>
      </c>
      <c r="H450" s="197">
        <v>81.346173874429866</v>
      </c>
      <c r="I450" s="197">
        <v>-5.4066062343369286</v>
      </c>
      <c r="J450" s="198">
        <v>0.31967325196170016</v>
      </c>
    </row>
    <row r="451" spans="1:10">
      <c r="A451" s="196">
        <v>1</v>
      </c>
      <c r="B451">
        <v>13</v>
      </c>
      <c r="C451" s="196">
        <v>18</v>
      </c>
      <c r="D451" s="196">
        <v>56</v>
      </c>
      <c r="E451" s="197">
        <v>6.4343854252248009</v>
      </c>
      <c r="F451" s="197">
        <v>-0.2649206816735849</v>
      </c>
      <c r="G451" s="198">
        <v>0.33686959173991982</v>
      </c>
      <c r="H451" s="197">
        <v>5.4171992812425209</v>
      </c>
      <c r="I451" s="197">
        <v>-1.01718614398228</v>
      </c>
      <c r="J451" s="198">
        <v>6.3674382264621637E-3</v>
      </c>
    </row>
    <row r="452" spans="1:10">
      <c r="A452" s="196">
        <v>1</v>
      </c>
      <c r="B452">
        <v>13</v>
      </c>
      <c r="C452" s="196">
        <v>19</v>
      </c>
      <c r="D452" s="196">
        <v>51</v>
      </c>
      <c r="E452" s="197">
        <v>21.682616491796296</v>
      </c>
      <c r="F452" s="197">
        <v>0.83674932230486387</v>
      </c>
      <c r="G452" s="198">
        <v>3.3839146417390518E-2</v>
      </c>
      <c r="H452" s="197">
        <v>22.584094658462966</v>
      </c>
      <c r="I452" s="197">
        <v>0.90147816666667069</v>
      </c>
      <c r="J452" s="198">
        <v>2.9457122906364923E-2</v>
      </c>
    </row>
    <row r="453" spans="1:10">
      <c r="A453" s="196">
        <v>1</v>
      </c>
      <c r="B453">
        <v>13</v>
      </c>
      <c r="C453" s="196">
        <v>19</v>
      </c>
      <c r="D453" s="196">
        <v>52</v>
      </c>
      <c r="E453" s="197">
        <v>59.642111121333301</v>
      </c>
      <c r="F453" s="197">
        <v>1.3650129943326328</v>
      </c>
      <c r="G453" s="198">
        <v>0.83682622351986025</v>
      </c>
      <c r="H453" s="197">
        <v>57.78843026374463</v>
      </c>
      <c r="I453" s="197">
        <v>-3.1080067803395188</v>
      </c>
      <c r="J453" s="198">
        <v>0.86254495056350555</v>
      </c>
    </row>
    <row r="454" spans="1:10">
      <c r="A454" s="196">
        <v>1</v>
      </c>
      <c r="B454">
        <v>13</v>
      </c>
      <c r="C454" s="196">
        <v>19</v>
      </c>
      <c r="D454" s="196">
        <v>54</v>
      </c>
      <c r="E454" s="197">
        <v>95.139765602352469</v>
      </c>
      <c r="F454" s="197">
        <v>-0.5465466931875087</v>
      </c>
      <c r="G454" s="198">
        <v>0.84051585776677351</v>
      </c>
      <c r="H454" s="197">
        <v>97.320474148666406</v>
      </c>
      <c r="I454" s="197">
        <v>2.1807085463139373</v>
      </c>
      <c r="J454" s="198">
        <v>6.232625112803216E-2</v>
      </c>
    </row>
    <row r="455" spans="1:10">
      <c r="A455" s="196">
        <v>1</v>
      </c>
      <c r="B455">
        <v>13</v>
      </c>
      <c r="C455" s="196">
        <v>19</v>
      </c>
      <c r="D455" s="196">
        <v>55</v>
      </c>
      <c r="E455" s="197">
        <v>83.104605850541788</v>
      </c>
      <c r="F455" s="197">
        <v>-0.5465466931875087</v>
      </c>
      <c r="G455" s="198">
        <v>0.84051585776677351</v>
      </c>
      <c r="H455" s="197">
        <v>84.198077470322801</v>
      </c>
      <c r="I455" s="197">
        <v>1.3157773971608144</v>
      </c>
      <c r="J455" s="198">
        <v>0.82619990835191293</v>
      </c>
    </row>
    <row r="456" spans="1:10">
      <c r="A456" s="196">
        <v>1</v>
      </c>
      <c r="B456">
        <v>13</v>
      </c>
      <c r="C456" s="196">
        <v>19</v>
      </c>
      <c r="D456" s="196">
        <v>56</v>
      </c>
      <c r="E456" s="197">
        <v>5.5376094630382866</v>
      </c>
      <c r="F456" s="197">
        <v>-0.1492741896768765</v>
      </c>
      <c r="G456" s="198">
        <v>0.45591347787353287</v>
      </c>
      <c r="H456" s="197">
        <v>5.5719477913309916</v>
      </c>
      <c r="I456" s="197">
        <v>3.4338328292705E-2</v>
      </c>
      <c r="J456" s="198">
        <v>0.91734153001809338</v>
      </c>
    </row>
    <row r="457" spans="1:10">
      <c r="A457" s="196">
        <v>1</v>
      </c>
      <c r="B457">
        <v>7</v>
      </c>
      <c r="C457" s="196">
        <v>13</v>
      </c>
      <c r="D457" s="196">
        <v>51</v>
      </c>
      <c r="E457" s="197">
        <v>18.345770608413179</v>
      </c>
      <c r="F457" s="197">
        <v>0.758311422279484</v>
      </c>
      <c r="G457" s="198">
        <v>1.001904108064904E-4</v>
      </c>
      <c r="H457" s="197">
        <v>19.18673835841318</v>
      </c>
      <c r="I457" s="197">
        <v>0.84096775000000079</v>
      </c>
      <c r="J457" s="198">
        <v>1.5409219312095092E-3</v>
      </c>
    </row>
    <row r="458" spans="1:10">
      <c r="A458" s="196">
        <v>1</v>
      </c>
      <c r="B458">
        <v>7</v>
      </c>
      <c r="C458" s="196">
        <v>13</v>
      </c>
      <c r="D458" s="196">
        <v>52</v>
      </c>
      <c r="E458" s="197">
        <v>174.82777767829188</v>
      </c>
      <c r="F458" s="197">
        <v>22.766629436137315</v>
      </c>
      <c r="G458" s="198">
        <v>3.4929015632701274E-2</v>
      </c>
      <c r="H458" s="197">
        <v>177.68998299723319</v>
      </c>
      <c r="I458" s="197">
        <v>1.6371570679163849</v>
      </c>
      <c r="J458" s="198">
        <v>0.82995981189541634</v>
      </c>
    </row>
    <row r="459" spans="1:10">
      <c r="A459" s="196">
        <v>1</v>
      </c>
      <c r="B459">
        <v>7</v>
      </c>
      <c r="C459" s="196">
        <v>13</v>
      </c>
      <c r="D459" s="196">
        <v>54</v>
      </c>
      <c r="E459" s="197">
        <v>97.85043295929384</v>
      </c>
      <c r="F459" s="197">
        <v>-2.2979615438559584</v>
      </c>
      <c r="G459" s="198">
        <v>1.2281044022796896E-2</v>
      </c>
      <c r="H459" s="197">
        <v>100.55558292776097</v>
      </c>
      <c r="I459" s="197">
        <v>2.7051499684671256</v>
      </c>
      <c r="J459" s="198">
        <v>8.0878083806218398E-3</v>
      </c>
    </row>
    <row r="460" spans="1:10">
      <c r="A460" s="196">
        <v>1</v>
      </c>
      <c r="B460">
        <v>7</v>
      </c>
      <c r="C460" s="196">
        <v>13</v>
      </c>
      <c r="D460" s="196">
        <v>55</v>
      </c>
      <c r="E460" s="197">
        <v>96.48048685882317</v>
      </c>
      <c r="F460" s="197">
        <v>-2.2979615438559584</v>
      </c>
      <c r="G460" s="198">
        <v>1.2281044022796896E-2</v>
      </c>
      <c r="H460" s="197">
        <v>95.837433343170929</v>
      </c>
      <c r="I460" s="197">
        <v>-0.66651147458781568</v>
      </c>
      <c r="J460" s="198">
        <v>0.6914558622016862</v>
      </c>
    </row>
    <row r="461" spans="1:10">
      <c r="A461" s="196">
        <v>1</v>
      </c>
      <c r="B461">
        <v>7</v>
      </c>
      <c r="C461" s="196">
        <v>13</v>
      </c>
      <c r="D461" s="196">
        <v>56</v>
      </c>
      <c r="E461" s="197">
        <v>6.6107887973742256</v>
      </c>
      <c r="F461" s="197">
        <v>-0.24701778615074996</v>
      </c>
      <c r="G461" s="198">
        <v>1.8321655730081886E-3</v>
      </c>
      <c r="H461" s="197">
        <v>6.7448092897767129</v>
      </c>
      <c r="I461" s="197">
        <v>0.13402049240248726</v>
      </c>
      <c r="J461" s="198">
        <v>0.29128156490568291</v>
      </c>
    </row>
    <row r="462" spans="1:10">
      <c r="A462" s="196">
        <v>1</v>
      </c>
      <c r="B462">
        <v>7</v>
      </c>
      <c r="C462" s="196">
        <v>14</v>
      </c>
      <c r="D462" s="196">
        <v>51</v>
      </c>
      <c r="E462" s="197">
        <v>10.887601253695456</v>
      </c>
      <c r="F462" s="197">
        <v>-0.12672774998872202</v>
      </c>
      <c r="G462" s="198">
        <v>0.55364626100388992</v>
      </c>
      <c r="H462" s="197">
        <v>12.255956470362126</v>
      </c>
      <c r="I462" s="197">
        <v>1.3683552166666697</v>
      </c>
      <c r="J462" s="198">
        <v>1.7970288831586912E-5</v>
      </c>
    </row>
    <row r="463" spans="1:10">
      <c r="A463" s="196">
        <v>1</v>
      </c>
      <c r="B463">
        <v>7</v>
      </c>
      <c r="C463" s="196">
        <v>14</v>
      </c>
      <c r="D463" s="196">
        <v>52</v>
      </c>
      <c r="E463" s="197">
        <v>116.85688888374717</v>
      </c>
      <c r="F463" s="197">
        <v>13.67813126444071</v>
      </c>
      <c r="G463" s="198">
        <v>0.14627712990391184</v>
      </c>
      <c r="H463" s="197">
        <v>125.4911917245869</v>
      </c>
      <c r="I463" s="197">
        <v>7.3887837707449142</v>
      </c>
      <c r="J463" s="198">
        <v>0.40713866063719917</v>
      </c>
    </row>
    <row r="464" spans="1:10">
      <c r="A464" s="196">
        <v>1</v>
      </c>
      <c r="B464">
        <v>7</v>
      </c>
      <c r="C464" s="196">
        <v>14</v>
      </c>
      <c r="D464" s="196">
        <v>54</v>
      </c>
      <c r="E464" s="197">
        <v>94.813587905809968</v>
      </c>
      <c r="F464" s="197">
        <v>1.8922190119833837</v>
      </c>
      <c r="G464" s="198">
        <v>0.28120934209814452</v>
      </c>
      <c r="H464" s="197">
        <v>99.144781598122336</v>
      </c>
      <c r="I464" s="197">
        <v>4.3311936923123682</v>
      </c>
      <c r="J464" s="198">
        <v>1.1943382838255855E-4</v>
      </c>
    </row>
    <row r="465" spans="1:10">
      <c r="A465" s="196">
        <v>1</v>
      </c>
      <c r="B465">
        <v>7</v>
      </c>
      <c r="C465" s="196">
        <v>14</v>
      </c>
      <c r="D465" s="196">
        <v>55</v>
      </c>
      <c r="E465" s="197">
        <v>92.854781715024032</v>
      </c>
      <c r="F465" s="197">
        <v>1.8922190119833837</v>
      </c>
      <c r="G465" s="198">
        <v>0.28120934209814452</v>
      </c>
      <c r="H465" s="197">
        <v>93.892893430735924</v>
      </c>
      <c r="I465" s="197">
        <v>1.1179948910955464</v>
      </c>
      <c r="J465" s="198">
        <v>0.50867289781628111</v>
      </c>
    </row>
    <row r="466" spans="1:10">
      <c r="A466" s="196">
        <v>1</v>
      </c>
      <c r="B466">
        <v>7</v>
      </c>
      <c r="C466" s="196">
        <v>14</v>
      </c>
      <c r="D466" s="196">
        <v>56</v>
      </c>
      <c r="E466" s="197">
        <v>6.1561481571509944</v>
      </c>
      <c r="F466" s="197">
        <v>9.6835212550619651E-2</v>
      </c>
      <c r="G466" s="198">
        <v>0.40658398596053758</v>
      </c>
      <c r="H466" s="197">
        <v>6.5083901241885833</v>
      </c>
      <c r="I466" s="197">
        <v>0.35224196703758892</v>
      </c>
      <c r="J466" s="198">
        <v>1.0530729833497298E-2</v>
      </c>
    </row>
    <row r="467" spans="1:10">
      <c r="A467" s="196">
        <v>1</v>
      </c>
      <c r="B467">
        <v>7</v>
      </c>
      <c r="C467" s="196">
        <v>15</v>
      </c>
      <c r="D467" s="196">
        <v>51</v>
      </c>
      <c r="E467" s="197">
        <v>2.953296297725152</v>
      </c>
      <c r="F467" s="197">
        <v>1.0660289229932189</v>
      </c>
      <c r="G467" s="198">
        <v>4.8442112516643085E-2</v>
      </c>
      <c r="H467" s="197">
        <v>4.1174096310584858</v>
      </c>
      <c r="I467" s="197">
        <v>1.1641133333333338</v>
      </c>
      <c r="J467" s="198">
        <v>2.0137456749100724E-2</v>
      </c>
    </row>
    <row r="468" spans="1:10">
      <c r="A468" s="196">
        <v>1</v>
      </c>
      <c r="B468">
        <v>7</v>
      </c>
      <c r="C468" s="196">
        <v>15</v>
      </c>
      <c r="D468" s="196">
        <v>52</v>
      </c>
      <c r="E468" s="197">
        <v>44.573555547143854</v>
      </c>
      <c r="F468" s="197">
        <v>4.550760089857989</v>
      </c>
      <c r="G468" s="198">
        <v>0.30278106245551306</v>
      </c>
      <c r="H468" s="197">
        <v>42.07035992072413</v>
      </c>
      <c r="I468" s="197">
        <v>-5.6158760406092956</v>
      </c>
      <c r="J468" s="198">
        <v>0.51595669429605995</v>
      </c>
    </row>
    <row r="469" spans="1:10">
      <c r="A469" s="196">
        <v>1</v>
      </c>
      <c r="B469">
        <v>7</v>
      </c>
      <c r="C469" s="196">
        <v>15</v>
      </c>
      <c r="D469" s="196">
        <v>54</v>
      </c>
      <c r="E469" s="197">
        <v>90.430826563865423</v>
      </c>
      <c r="F469" s="197">
        <v>4.3144406656416372</v>
      </c>
      <c r="G469" s="198">
        <v>0.15194824311431243</v>
      </c>
      <c r="H469" s="197">
        <v>90.775765106319469</v>
      </c>
      <c r="I469" s="197">
        <v>0.3449385424540452</v>
      </c>
      <c r="J469" s="198">
        <v>0.83812964158251502</v>
      </c>
    </row>
    <row r="470" spans="1:10">
      <c r="A470" s="196">
        <v>1</v>
      </c>
      <c r="B470">
        <v>7</v>
      </c>
      <c r="C470" s="196">
        <v>15</v>
      </c>
      <c r="D470" s="196">
        <v>55</v>
      </c>
      <c r="E470" s="197">
        <v>74.93520858685477</v>
      </c>
      <c r="F470" s="197">
        <v>4.3144406656416372</v>
      </c>
      <c r="G470" s="198">
        <v>0.15194824311431243</v>
      </c>
      <c r="H470" s="197">
        <v>73.820451043865489</v>
      </c>
      <c r="I470" s="197">
        <v>-1.487628531382821</v>
      </c>
      <c r="J470" s="198">
        <v>0.55298399871594239</v>
      </c>
    </row>
    <row r="471" spans="1:10">
      <c r="A471" s="196">
        <v>1</v>
      </c>
      <c r="B471">
        <v>7</v>
      </c>
      <c r="C471" s="196">
        <v>15</v>
      </c>
      <c r="D471" s="196">
        <v>56</v>
      </c>
      <c r="E471" s="197">
        <v>3.3823051937070061</v>
      </c>
      <c r="F471" s="197">
        <v>0.26743694479181185</v>
      </c>
      <c r="G471" s="198">
        <v>0.10015577761098937</v>
      </c>
      <c r="H471" s="197">
        <v>3.3479834007697407</v>
      </c>
      <c r="I471" s="197">
        <v>-3.432179293726545E-2</v>
      </c>
      <c r="J471" s="198">
        <v>0.79554491967922714</v>
      </c>
    </row>
    <row r="472" spans="1:10">
      <c r="A472" s="196">
        <v>1</v>
      </c>
      <c r="B472">
        <v>7</v>
      </c>
      <c r="C472" s="196">
        <v>16</v>
      </c>
      <c r="D472" s="196">
        <v>51</v>
      </c>
      <c r="E472" s="197">
        <v>-1.937070084173804</v>
      </c>
      <c r="F472" s="197">
        <v>0.3889566827480827</v>
      </c>
      <c r="G472" s="198">
        <v>0.42504726311608176</v>
      </c>
      <c r="H472" s="197">
        <v>-1.4137662549199208</v>
      </c>
      <c r="I472" s="197">
        <v>1.2</v>
      </c>
      <c r="J472" s="198">
        <v>0.01</v>
      </c>
    </row>
    <row r="473" spans="1:10">
      <c r="A473" s="196">
        <v>1</v>
      </c>
      <c r="B473">
        <v>7</v>
      </c>
      <c r="C473" s="196">
        <v>16</v>
      </c>
      <c r="D473" s="196">
        <v>52</v>
      </c>
      <c r="E473" s="197">
        <v>117.63311114009055</v>
      </c>
      <c r="F473" s="197">
        <v>8.7585095051174573</v>
      </c>
      <c r="G473" s="198">
        <v>0.10091940210349427</v>
      </c>
      <c r="H473" s="197">
        <v>131.29600652124617</v>
      </c>
      <c r="I473" s="197">
        <v>11.61483807470189</v>
      </c>
      <c r="J473" s="198">
        <v>5.2340072861229332E-2</v>
      </c>
    </row>
    <row r="474" spans="1:10">
      <c r="A474" s="196">
        <v>1</v>
      </c>
      <c r="B474">
        <v>7</v>
      </c>
      <c r="C474" s="196">
        <v>16</v>
      </c>
      <c r="D474" s="196">
        <v>54</v>
      </c>
      <c r="E474" s="197">
        <v>93.186966227408234</v>
      </c>
      <c r="F474" s="197">
        <v>0.60065707874936702</v>
      </c>
      <c r="G474" s="198">
        <v>0.21483880799409816</v>
      </c>
      <c r="H474" s="197">
        <v>90.102782541335117</v>
      </c>
      <c r="I474" s="197">
        <v>-3.0841836860731178</v>
      </c>
      <c r="J474" s="198">
        <v>0.10862040299514863</v>
      </c>
    </row>
    <row r="475" spans="1:10">
      <c r="A475" s="196">
        <v>1</v>
      </c>
      <c r="B475">
        <v>7</v>
      </c>
      <c r="C475" s="196">
        <v>16</v>
      </c>
      <c r="D475" s="196">
        <v>55</v>
      </c>
      <c r="E475" s="197">
        <v>97.541618471954862</v>
      </c>
      <c r="F475" s="197">
        <v>0.60065707874936702</v>
      </c>
      <c r="G475" s="198">
        <v>0.21483880799409816</v>
      </c>
      <c r="H475" s="197">
        <v>97.25959930366183</v>
      </c>
      <c r="I475" s="197">
        <v>-0.28912701338261831</v>
      </c>
      <c r="J475" s="198">
        <v>0.47916178252402308</v>
      </c>
    </row>
    <row r="476" spans="1:10">
      <c r="A476" s="196">
        <v>1</v>
      </c>
      <c r="B476">
        <v>7</v>
      </c>
      <c r="C476" s="196">
        <v>16</v>
      </c>
      <c r="D476" s="196">
        <v>56</v>
      </c>
      <c r="E476" s="197">
        <v>26.366893415619298</v>
      </c>
      <c r="F476" s="197">
        <v>0.61059515825002408</v>
      </c>
      <c r="G476" s="198">
        <v>0.31396358439788041</v>
      </c>
      <c r="H476" s="197">
        <v>25.416457511794963</v>
      </c>
      <c r="I476" s="197">
        <v>0.61059515825002408</v>
      </c>
      <c r="J476" s="198">
        <v>0.31396358439788041</v>
      </c>
    </row>
    <row r="477" spans="1:10">
      <c r="A477" s="196">
        <v>1</v>
      </c>
      <c r="B477">
        <v>7</v>
      </c>
      <c r="C477" s="196">
        <v>17</v>
      </c>
      <c r="D477" s="196">
        <v>51</v>
      </c>
      <c r="E477" s="197">
        <v>8.3021511355965867</v>
      </c>
      <c r="F477" s="197">
        <v>0.36818575859640479</v>
      </c>
      <c r="G477" s="198">
        <v>0.12686845903009802</v>
      </c>
      <c r="H477" s="197">
        <v>8.9338216244854785</v>
      </c>
      <c r="I477" s="197">
        <v>0.63167048888889177</v>
      </c>
      <c r="J477" s="198">
        <v>1.0490642726578396E-2</v>
      </c>
    </row>
    <row r="478" spans="1:10">
      <c r="A478" s="196">
        <v>1</v>
      </c>
      <c r="B478">
        <v>7</v>
      </c>
      <c r="C478" s="196">
        <v>17</v>
      </c>
      <c r="D478" s="196">
        <v>52</v>
      </c>
      <c r="E478" s="197">
        <v>170.29899994908945</v>
      </c>
      <c r="F478" s="197">
        <v>21.622803030033438</v>
      </c>
      <c r="G478" s="198">
        <v>4.5168270695404231E-3</v>
      </c>
      <c r="H478" s="197">
        <v>174.13108693819154</v>
      </c>
      <c r="I478" s="197">
        <v>2.2502110935752344</v>
      </c>
      <c r="J478" s="198">
        <v>0.70589168086807097</v>
      </c>
    </row>
    <row r="479" spans="1:10">
      <c r="A479" s="196">
        <v>1</v>
      </c>
      <c r="B479">
        <v>7</v>
      </c>
      <c r="C479" s="196">
        <v>17</v>
      </c>
      <c r="D479" s="196">
        <v>54</v>
      </c>
      <c r="E479" s="197">
        <v>97.744538611880117</v>
      </c>
      <c r="F479" s="197">
        <v>-0.35366527670947734</v>
      </c>
      <c r="G479" s="198">
        <v>7.6353645724413083E-2</v>
      </c>
      <c r="H479" s="197">
        <v>94.236899960546211</v>
      </c>
      <c r="I479" s="197">
        <v>-3.507638651333906</v>
      </c>
      <c r="J479" s="198">
        <v>1.1790272770751271E-2</v>
      </c>
    </row>
    <row r="480" spans="1:10">
      <c r="A480" s="196">
        <v>1</v>
      </c>
      <c r="B480">
        <v>7</v>
      </c>
      <c r="C480" s="196">
        <v>17</v>
      </c>
      <c r="D480" s="196">
        <v>55</v>
      </c>
      <c r="E480" s="197">
        <v>99.248295659876575</v>
      </c>
      <c r="F480" s="197">
        <v>-0.35366527670947734</v>
      </c>
      <c r="G480" s="198">
        <v>7.6353645724413083E-2</v>
      </c>
      <c r="H480" s="197">
        <v>98.641126254764345</v>
      </c>
      <c r="I480" s="197">
        <v>-0.61176809241440433</v>
      </c>
      <c r="J480" s="198">
        <v>0.38021135944203732</v>
      </c>
    </row>
    <row r="481" spans="1:10">
      <c r="A481" s="196">
        <v>1</v>
      </c>
      <c r="B481">
        <v>7</v>
      </c>
      <c r="C481" s="196">
        <v>17</v>
      </c>
      <c r="D481" s="196">
        <v>56</v>
      </c>
      <c r="E481" s="197">
        <v>34.922139900954576</v>
      </c>
      <c r="F481" s="197">
        <v>-0.1709438215549394</v>
      </c>
      <c r="G481" s="198">
        <v>0.48950252527063687</v>
      </c>
      <c r="H481" s="197">
        <v>33.468519424859558</v>
      </c>
      <c r="I481" s="197">
        <v>-1.4536204760950184</v>
      </c>
      <c r="J481" s="198">
        <v>6.0298952988376555E-3</v>
      </c>
    </row>
    <row r="482" spans="1:10">
      <c r="A482" s="196">
        <v>1</v>
      </c>
      <c r="B482">
        <v>7</v>
      </c>
      <c r="C482" s="196">
        <v>18</v>
      </c>
      <c r="D482" s="196">
        <v>51</v>
      </c>
      <c r="E482" s="197">
        <v>16.778111108462021</v>
      </c>
      <c r="F482" s="197">
        <v>0.58203880765031446</v>
      </c>
      <c r="G482" s="198">
        <v>8.8030988337809372E-3</v>
      </c>
      <c r="H482" s="197">
        <v>17.79131584179536</v>
      </c>
      <c r="I482" s="197">
        <v>1.0132047333333372</v>
      </c>
      <c r="J482" s="198">
        <v>1.9526104394765526E-3</v>
      </c>
    </row>
    <row r="483" spans="1:10">
      <c r="A483" s="196">
        <v>1</v>
      </c>
      <c r="B483">
        <v>7</v>
      </c>
      <c r="C483" s="196">
        <v>18</v>
      </c>
      <c r="D483" s="196">
        <v>52</v>
      </c>
      <c r="E483" s="197">
        <v>87.302444509098066</v>
      </c>
      <c r="F483" s="197">
        <v>2.1308862703150018</v>
      </c>
      <c r="G483" s="198">
        <v>0.75936716793427073</v>
      </c>
      <c r="H483" s="197">
        <v>92.230182757915628</v>
      </c>
      <c r="I483" s="197">
        <v>5.6444447535532989</v>
      </c>
      <c r="J483" s="198">
        <v>0.49826531568438626</v>
      </c>
    </row>
    <row r="484" spans="1:10">
      <c r="A484" s="196">
        <v>1</v>
      </c>
      <c r="B484">
        <v>7</v>
      </c>
      <c r="C484" s="196">
        <v>18</v>
      </c>
      <c r="D484" s="196">
        <v>54</v>
      </c>
      <c r="E484" s="197">
        <v>98.357218748809103</v>
      </c>
      <c r="F484" s="197">
        <v>-1.0484229926341702</v>
      </c>
      <c r="G484" s="198">
        <v>0.74707168177169547</v>
      </c>
      <c r="H484" s="197">
        <v>98.525914758176171</v>
      </c>
      <c r="I484" s="197">
        <v>0.16869600936706775</v>
      </c>
      <c r="J484" s="198">
        <v>0.7717196423759467</v>
      </c>
    </row>
    <row r="485" spans="1:10">
      <c r="A485" s="196">
        <v>1</v>
      </c>
      <c r="B485">
        <v>7</v>
      </c>
      <c r="C485" s="196">
        <v>18</v>
      </c>
      <c r="D485" s="196">
        <v>55</v>
      </c>
      <c r="E485" s="197">
        <v>76.23420478321755</v>
      </c>
      <c r="F485" s="197">
        <v>-1.0484229926341702</v>
      </c>
      <c r="G485" s="198">
        <v>0.74707168177169547</v>
      </c>
      <c r="H485" s="197">
        <v>73.06066606160978</v>
      </c>
      <c r="I485" s="197">
        <v>-4.1628803378118402</v>
      </c>
      <c r="J485" s="198">
        <v>0.47591789462269585</v>
      </c>
    </row>
    <row r="486" spans="1:10">
      <c r="A486" s="196">
        <v>1</v>
      </c>
      <c r="B486">
        <v>7</v>
      </c>
      <c r="C486" s="196">
        <v>18</v>
      </c>
      <c r="D486" s="196">
        <v>56</v>
      </c>
      <c r="E486" s="197">
        <v>6.7596398791259213</v>
      </c>
      <c r="F486" s="197">
        <v>-9.5910427539940848E-2</v>
      </c>
      <c r="G486" s="198">
        <v>0.74982745531605888</v>
      </c>
      <c r="H486" s="197">
        <v>6.5027218524943358</v>
      </c>
      <c r="I486" s="197">
        <v>-0.25691802663158558</v>
      </c>
      <c r="J486" s="198">
        <v>0.48080565827652555</v>
      </c>
    </row>
    <row r="487" spans="1:10">
      <c r="A487" s="196">
        <v>1</v>
      </c>
      <c r="B487">
        <v>7</v>
      </c>
      <c r="C487" s="196">
        <v>19</v>
      </c>
      <c r="D487" s="196">
        <v>51</v>
      </c>
      <c r="E487" s="197">
        <v>18.680896057108402</v>
      </c>
      <c r="F487" s="197">
        <v>0.87165603952549331</v>
      </c>
      <c r="G487" s="198">
        <v>1.3325971519787074E-3</v>
      </c>
      <c r="H487" s="197">
        <v>19.158131657108402</v>
      </c>
      <c r="I487" s="197">
        <v>0.4772356000000002</v>
      </c>
      <c r="J487" s="198">
        <v>0.12921150683723515</v>
      </c>
    </row>
    <row r="488" spans="1:10">
      <c r="A488" s="196">
        <v>1</v>
      </c>
      <c r="B488">
        <v>7</v>
      </c>
      <c r="C488" s="196">
        <v>19</v>
      </c>
      <c r="D488" s="196">
        <v>52</v>
      </c>
      <c r="E488" s="197">
        <v>97.336888851184071</v>
      </c>
      <c r="F488" s="197">
        <v>13.350559822887735</v>
      </c>
      <c r="G488" s="198">
        <v>0.14058534738208639</v>
      </c>
      <c r="H488" s="197">
        <v>107.14064904102314</v>
      </c>
      <c r="I488" s="197">
        <v>10.071988436807128</v>
      </c>
      <c r="J488" s="198">
        <v>0.32849395481488064</v>
      </c>
    </row>
    <row r="489" spans="1:10">
      <c r="A489" s="196">
        <v>1</v>
      </c>
      <c r="B489">
        <v>7</v>
      </c>
      <c r="C489" s="196">
        <v>19</v>
      </c>
      <c r="D489" s="196">
        <v>54</v>
      </c>
      <c r="E489" s="197">
        <v>88.154245913257284</v>
      </c>
      <c r="F489" s="197">
        <v>-6.3079118716400853</v>
      </c>
      <c r="G489" s="198">
        <v>0.1318089865516443</v>
      </c>
      <c r="H489" s="197">
        <v>91.83321530456486</v>
      </c>
      <c r="I489" s="197">
        <v>3.6789693913075752</v>
      </c>
      <c r="J489" s="198">
        <v>9.2780965197382895E-2</v>
      </c>
    </row>
    <row r="490" spans="1:10">
      <c r="A490" s="196">
        <v>1</v>
      </c>
      <c r="B490">
        <v>7</v>
      </c>
      <c r="C490" s="196">
        <v>19</v>
      </c>
      <c r="D490" s="196">
        <v>55</v>
      </c>
      <c r="E490" s="197">
        <v>66.087839196016276</v>
      </c>
      <c r="F490" s="197">
        <v>-6.3079118716400853</v>
      </c>
      <c r="G490" s="198">
        <v>0.1318089865516443</v>
      </c>
      <c r="H490" s="197">
        <v>61.463356633077801</v>
      </c>
      <c r="I490" s="197">
        <v>-6.9974788390679183</v>
      </c>
      <c r="J490" s="198">
        <v>0.32527160179203629</v>
      </c>
    </row>
    <row r="491" spans="1:10">
      <c r="A491" s="196">
        <v>1</v>
      </c>
      <c r="B491">
        <v>7</v>
      </c>
      <c r="C491" s="196">
        <v>19</v>
      </c>
      <c r="D491" s="196">
        <v>56</v>
      </c>
      <c r="E491" s="197">
        <v>4.11010625533598</v>
      </c>
      <c r="F491" s="197">
        <v>-0.16185421566035563</v>
      </c>
      <c r="G491" s="198">
        <v>0.58867481078234318</v>
      </c>
      <c r="H491" s="197">
        <v>3.9939460284353663</v>
      </c>
      <c r="I491" s="197">
        <v>-0.11616022690061367</v>
      </c>
      <c r="J491" s="198">
        <v>0.70370805394045366</v>
      </c>
    </row>
    <row r="492" spans="1:10">
      <c r="A492" s="196">
        <v>1</v>
      </c>
      <c r="B492">
        <v>23</v>
      </c>
      <c r="C492" s="196">
        <v>13</v>
      </c>
      <c r="D492" s="196">
        <v>51</v>
      </c>
      <c r="E492" s="197">
        <v>22.246709675347926</v>
      </c>
      <c r="F492" s="197">
        <v>0.10045613362637584</v>
      </c>
      <c r="G492" s="198">
        <v>1.2233365946605473E-4</v>
      </c>
      <c r="H492" s="197">
        <v>23.381421125347927</v>
      </c>
      <c r="I492" s="197">
        <v>1.1347114500000011</v>
      </c>
      <c r="J492" s="198">
        <v>9.773349531410104E-4</v>
      </c>
    </row>
    <row r="493" spans="1:10">
      <c r="A493" s="196">
        <v>1</v>
      </c>
      <c r="B493">
        <v>23</v>
      </c>
      <c r="C493" s="196">
        <v>13</v>
      </c>
      <c r="D493" s="196">
        <v>52</v>
      </c>
      <c r="E493" s="197">
        <v>99.374666666666684</v>
      </c>
      <c r="F493" s="197">
        <v>-3.5097664071190189</v>
      </c>
      <c r="G493" s="198">
        <v>0.65971624868819378</v>
      </c>
      <c r="H493" s="197">
        <v>97.348175556787695</v>
      </c>
      <c r="I493" s="197">
        <v>-2.039243177213832</v>
      </c>
      <c r="J493" s="198">
        <v>0.86729429075961129</v>
      </c>
    </row>
    <row r="494" spans="1:10">
      <c r="A494" s="196">
        <v>1</v>
      </c>
      <c r="B494">
        <v>23</v>
      </c>
      <c r="C494" s="196">
        <v>13</v>
      </c>
      <c r="D494" s="196">
        <v>54</v>
      </c>
      <c r="E494" s="197">
        <v>69.107580746836831</v>
      </c>
      <c r="F494" s="197">
        <v>-0.60978967067958534</v>
      </c>
      <c r="G494" s="198">
        <v>0.32906333535425514</v>
      </c>
      <c r="H494" s="197">
        <v>58.271159724350241</v>
      </c>
      <c r="I494" s="197">
        <v>-10.83642102248659</v>
      </c>
      <c r="J494" s="198">
        <v>1.0289663568093113E-3</v>
      </c>
    </row>
    <row r="495" spans="1:10">
      <c r="A495" s="196">
        <v>1</v>
      </c>
      <c r="B495">
        <v>23</v>
      </c>
      <c r="C495" s="196">
        <v>13</v>
      </c>
      <c r="D495" s="196">
        <v>55</v>
      </c>
      <c r="E495" s="197">
        <v>97.261006155412048</v>
      </c>
      <c r="F495" s="197">
        <v>-0.60978967067958534</v>
      </c>
      <c r="G495" s="198">
        <v>0.32906333535425514</v>
      </c>
      <c r="H495" s="197">
        <v>96.816561387392994</v>
      </c>
      <c r="I495" s="197">
        <v>-0.4569608989124449</v>
      </c>
      <c r="J495" s="198">
        <v>0.8294667758274018</v>
      </c>
    </row>
    <row r="496" spans="1:10">
      <c r="A496" s="196">
        <v>1</v>
      </c>
      <c r="B496">
        <v>23</v>
      </c>
      <c r="C496" s="196">
        <v>13</v>
      </c>
      <c r="D496" s="196">
        <v>56</v>
      </c>
      <c r="E496" s="197">
        <v>4.7159426158579949</v>
      </c>
      <c r="F496" s="197">
        <v>-0.79626357802006431</v>
      </c>
      <c r="G496" s="198">
        <v>1.3043634060756198E-4</v>
      </c>
      <c r="H496" s="197">
        <v>4.0104100951159642</v>
      </c>
      <c r="I496" s="197">
        <v>-0.70553252074203066</v>
      </c>
      <c r="J496" s="198">
        <v>1.1726233734859015E-2</v>
      </c>
    </row>
    <row r="497" spans="1:10">
      <c r="A497" s="196">
        <v>1</v>
      </c>
      <c r="B497">
        <v>23</v>
      </c>
      <c r="C497" s="196">
        <v>14</v>
      </c>
      <c r="D497" s="196">
        <v>51</v>
      </c>
      <c r="E497" s="197">
        <v>13.259477780132739</v>
      </c>
      <c r="F497" s="197">
        <v>0.19980234102298783</v>
      </c>
      <c r="G497" s="198">
        <v>0.39749346446309197</v>
      </c>
      <c r="H497" s="197">
        <v>14.968292646799405</v>
      </c>
      <c r="I497" s="197">
        <v>1.7088148666666658</v>
      </c>
      <c r="J497" s="198">
        <v>5.9899093644368747E-6</v>
      </c>
    </row>
    <row r="498" spans="1:10">
      <c r="A498" s="196">
        <v>1</v>
      </c>
      <c r="B498">
        <v>23</v>
      </c>
      <c r="C498" s="196">
        <v>14</v>
      </c>
      <c r="D498" s="196">
        <v>52</v>
      </c>
      <c r="E498" s="197">
        <v>80.208666666666659</v>
      </c>
      <c r="F498" s="197">
        <v>12.282847608453837</v>
      </c>
      <c r="G498" s="198">
        <v>0.10325704760932945</v>
      </c>
      <c r="H498" s="197">
        <v>71.642047880392397</v>
      </c>
      <c r="I498" s="197">
        <v>-10.680415399342886</v>
      </c>
      <c r="J498" s="198">
        <v>0.27118425753229747</v>
      </c>
    </row>
    <row r="499" spans="1:10">
      <c r="A499" s="196">
        <v>1</v>
      </c>
      <c r="B499">
        <v>23</v>
      </c>
      <c r="C499" s="196">
        <v>14</v>
      </c>
      <c r="D499" s="196">
        <v>54</v>
      </c>
      <c r="E499" s="197">
        <v>98.004922323379319</v>
      </c>
      <c r="F499" s="197">
        <v>4.9678955443307506</v>
      </c>
      <c r="G499" s="198">
        <v>5.49337490522172E-2</v>
      </c>
      <c r="H499" s="197">
        <v>92.54522405407279</v>
      </c>
      <c r="I499" s="197">
        <v>-5.4596982693065286</v>
      </c>
      <c r="J499" s="198">
        <v>4.8612158766569444E-3</v>
      </c>
    </row>
    <row r="500" spans="1:10">
      <c r="A500" s="196">
        <v>1</v>
      </c>
      <c r="B500">
        <v>23</v>
      </c>
      <c r="C500" s="196">
        <v>14</v>
      </c>
      <c r="D500" s="196">
        <v>55</v>
      </c>
      <c r="E500" s="197">
        <v>84.733956805028129</v>
      </c>
      <c r="F500" s="197">
        <v>4.9678955443307506</v>
      </c>
      <c r="G500" s="198">
        <v>5.49337490522172E-2</v>
      </c>
      <c r="H500" s="197">
        <v>81.849702116130075</v>
      </c>
      <c r="I500" s="197">
        <v>-3.4038947284554331</v>
      </c>
      <c r="J500" s="198">
        <v>0.23188774272034052</v>
      </c>
    </row>
    <row r="501" spans="1:10">
      <c r="A501" s="196">
        <v>1</v>
      </c>
      <c r="B501">
        <v>23</v>
      </c>
      <c r="C501" s="196">
        <v>14</v>
      </c>
      <c r="D501" s="196">
        <v>56</v>
      </c>
      <c r="E501" s="197">
        <v>5.8186060852054178</v>
      </c>
      <c r="F501" s="197">
        <v>0.32340062339639591</v>
      </c>
      <c r="G501" s="198">
        <v>8.8510842934982112E-2</v>
      </c>
      <c r="H501" s="197">
        <v>5.3017439529798454</v>
      </c>
      <c r="I501" s="197">
        <v>-0.51686213222557242</v>
      </c>
      <c r="J501" s="198">
        <v>1.6090551685504353E-2</v>
      </c>
    </row>
    <row r="502" spans="1:10">
      <c r="A502" s="196">
        <v>1</v>
      </c>
      <c r="B502">
        <v>23</v>
      </c>
      <c r="C502" s="196">
        <v>15</v>
      </c>
      <c r="D502" s="196">
        <v>51</v>
      </c>
      <c r="E502" s="197">
        <v>3.7103773828688897</v>
      </c>
      <c r="F502" s="197">
        <v>1.37259841970372</v>
      </c>
      <c r="G502" s="198">
        <v>1.5683536546650171E-2</v>
      </c>
      <c r="H502" s="197">
        <v>4.7103396828688915</v>
      </c>
      <c r="I502" s="197">
        <v>0.99996230000000175</v>
      </c>
      <c r="J502" s="198">
        <v>2.8073981926828039E-2</v>
      </c>
    </row>
    <row r="503" spans="1:10">
      <c r="A503" s="196">
        <v>1</v>
      </c>
      <c r="B503">
        <v>23</v>
      </c>
      <c r="C503" s="196">
        <v>15</v>
      </c>
      <c r="D503" s="196">
        <v>52</v>
      </c>
      <c r="E503" s="197">
        <v>37.497999999999998</v>
      </c>
      <c r="F503" s="197">
        <v>1.3990211345939954</v>
      </c>
      <c r="G503" s="198">
        <v>0.77660597110831076</v>
      </c>
      <c r="H503" s="197">
        <v>38.725669569418322</v>
      </c>
      <c r="I503" s="197">
        <v>3.2739601296557868</v>
      </c>
      <c r="J503" s="198">
        <v>0.82549584770808448</v>
      </c>
    </row>
    <row r="504" spans="1:10">
      <c r="A504" s="196">
        <v>1</v>
      </c>
      <c r="B504">
        <v>23</v>
      </c>
      <c r="C504" s="196">
        <v>15</v>
      </c>
      <c r="D504" s="196">
        <v>54</v>
      </c>
      <c r="E504" s="197">
        <v>91.023065854792719</v>
      </c>
      <c r="F504" s="197">
        <v>0.35564732378925412</v>
      </c>
      <c r="G504" s="198">
        <v>0.89950067610444773</v>
      </c>
      <c r="H504" s="197">
        <v>87.264268260378586</v>
      </c>
      <c r="I504" s="197">
        <v>-3.7587975944141334</v>
      </c>
      <c r="J504" s="198">
        <v>0.1338554133494062</v>
      </c>
    </row>
    <row r="505" spans="1:10">
      <c r="A505" s="196">
        <v>1</v>
      </c>
      <c r="B505">
        <v>23</v>
      </c>
      <c r="C505" s="196">
        <v>15</v>
      </c>
      <c r="D505" s="196">
        <v>55</v>
      </c>
      <c r="E505" s="197">
        <v>68.160724923593563</v>
      </c>
      <c r="F505" s="197">
        <v>0.35564732378925412</v>
      </c>
      <c r="G505" s="198">
        <v>0.89950067610444773</v>
      </c>
      <c r="H505" s="197">
        <v>67.626205161504529</v>
      </c>
      <c r="I505" s="197">
        <v>-0.78420492547316478</v>
      </c>
      <c r="J505" s="198">
        <v>0.87318915851962742</v>
      </c>
    </row>
    <row r="506" spans="1:10">
      <c r="A506" s="196">
        <v>1</v>
      </c>
      <c r="B506">
        <v>23</v>
      </c>
      <c r="C506" s="196">
        <v>15</v>
      </c>
      <c r="D506" s="196">
        <v>56</v>
      </c>
      <c r="E506" s="197">
        <v>3.1114378528709898</v>
      </c>
      <c r="F506" s="197">
        <v>0.19400907663750697</v>
      </c>
      <c r="G506" s="198">
        <v>0.36372848011405545</v>
      </c>
      <c r="H506" s="197">
        <v>2.9274523005176976</v>
      </c>
      <c r="I506" s="197">
        <v>-0.18398555235329228</v>
      </c>
      <c r="J506" s="198">
        <v>0.35242149792642352</v>
      </c>
    </row>
    <row r="507" spans="1:10">
      <c r="A507" s="196">
        <v>1</v>
      </c>
      <c r="B507">
        <v>23</v>
      </c>
      <c r="C507" s="196">
        <v>16</v>
      </c>
      <c r="D507" s="196">
        <v>51</v>
      </c>
      <c r="E507" s="197">
        <v>-1.4869140397828244</v>
      </c>
      <c r="F507" s="197">
        <v>0.33934328843237715</v>
      </c>
      <c r="G507" s="198">
        <v>0.46458015417221399</v>
      </c>
      <c r="H507" s="197">
        <v>-1.4137662549199208</v>
      </c>
      <c r="I507" s="197">
        <v>1.2</v>
      </c>
      <c r="J507" s="198">
        <v>0.01</v>
      </c>
    </row>
    <row r="508" spans="1:10">
      <c r="A508" s="196">
        <v>1</v>
      </c>
      <c r="B508">
        <v>23</v>
      </c>
      <c r="C508" s="196">
        <v>16</v>
      </c>
      <c r="D508" s="196">
        <v>52</v>
      </c>
      <c r="E508" s="197">
        <v>94.902000000000015</v>
      </c>
      <c r="F508" s="197">
        <v>5.0926362625139063</v>
      </c>
      <c r="G508" s="198">
        <v>0.54149905937204523</v>
      </c>
      <c r="H508" s="197">
        <v>109.68814394355272</v>
      </c>
      <c r="I508" s="197">
        <v>15.580434494059867</v>
      </c>
      <c r="J508" s="198">
        <v>7.6470308605769449E-2</v>
      </c>
    </row>
    <row r="509" spans="1:10">
      <c r="A509" s="196">
        <v>1</v>
      </c>
      <c r="B509">
        <v>23</v>
      </c>
      <c r="C509" s="196">
        <v>16</v>
      </c>
      <c r="D509" s="196">
        <v>54</v>
      </c>
      <c r="E509" s="197">
        <v>94.665081459810153</v>
      </c>
      <c r="F509" s="197">
        <v>-0.43907029293800698</v>
      </c>
      <c r="G509" s="198">
        <v>0.72548254641340082</v>
      </c>
      <c r="H509" s="197">
        <v>85.951126709343583</v>
      </c>
      <c r="I509" s="197">
        <v>-8.71395475046657</v>
      </c>
      <c r="J509" s="198">
        <v>2.6706614805069523E-3</v>
      </c>
    </row>
    <row r="510" spans="1:10">
      <c r="A510" s="196">
        <v>1</v>
      </c>
      <c r="B510">
        <v>23</v>
      </c>
      <c r="C510" s="196">
        <v>16</v>
      </c>
      <c r="D510" s="196">
        <v>55</v>
      </c>
      <c r="E510" s="197">
        <v>93.434952696064784</v>
      </c>
      <c r="F510" s="197">
        <v>-0.43907029293800698</v>
      </c>
      <c r="G510" s="198">
        <v>0.72548254641340082</v>
      </c>
      <c r="H510" s="197">
        <v>94.325128150550299</v>
      </c>
      <c r="I510" s="197">
        <v>0.95272211180025912</v>
      </c>
      <c r="J510" s="198">
        <v>0.262589888102016</v>
      </c>
    </row>
    <row r="511" spans="1:10">
      <c r="A511" s="196">
        <v>1</v>
      </c>
      <c r="B511">
        <v>23</v>
      </c>
      <c r="C511" s="196">
        <v>16</v>
      </c>
      <c r="D511" s="196">
        <v>56</v>
      </c>
      <c r="E511" s="197">
        <v>25.623934820830591</v>
      </c>
      <c r="F511" s="197">
        <v>0.17673469076825596</v>
      </c>
      <c r="G511" s="198">
        <v>0.75396574339579159</v>
      </c>
      <c r="H511" s="197">
        <v>23.397218323413181</v>
      </c>
      <c r="I511" s="197">
        <v>0.17673469076825596</v>
      </c>
      <c r="J511" s="198">
        <v>0.75396574339579159</v>
      </c>
    </row>
    <row r="512" spans="1:10">
      <c r="A512" s="196">
        <v>1</v>
      </c>
      <c r="B512">
        <v>23</v>
      </c>
      <c r="C512" s="196">
        <v>17</v>
      </c>
      <c r="D512" s="196">
        <v>51</v>
      </c>
      <c r="E512" s="197">
        <v>9.7153854237293533</v>
      </c>
      <c r="F512" s="197">
        <v>0.55388787948420615</v>
      </c>
      <c r="G512" s="198">
        <v>3.2326366833250249E-2</v>
      </c>
      <c r="H512" s="197">
        <v>10.553589779284907</v>
      </c>
      <c r="I512" s="197">
        <v>0.83820435555555406</v>
      </c>
      <c r="J512" s="198">
        <v>1.2544156698675351E-4</v>
      </c>
    </row>
    <row r="513" spans="1:10">
      <c r="A513" s="196">
        <v>1</v>
      </c>
      <c r="B513">
        <v>23</v>
      </c>
      <c r="C513" s="196">
        <v>17</v>
      </c>
      <c r="D513" s="196">
        <v>52</v>
      </c>
      <c r="E513" s="197">
        <v>103.40033333333334</v>
      </c>
      <c r="F513" s="197">
        <v>2.1924137931034489</v>
      </c>
      <c r="G513" s="198">
        <v>0.78155730424145831</v>
      </c>
      <c r="H513" s="197">
        <v>100.75710171065109</v>
      </c>
      <c r="I513" s="197">
        <v>-2.5563086089492799</v>
      </c>
      <c r="J513" s="198">
        <v>0.67890709889899448</v>
      </c>
    </row>
    <row r="514" spans="1:10">
      <c r="A514" s="196">
        <v>1</v>
      </c>
      <c r="B514">
        <v>23</v>
      </c>
      <c r="C514" s="196">
        <v>17</v>
      </c>
      <c r="D514" s="196">
        <v>54</v>
      </c>
      <c r="E514" s="197">
        <v>91.966459376267736</v>
      </c>
      <c r="F514" s="197">
        <v>0.24054043675791409</v>
      </c>
      <c r="G514" s="198">
        <v>0.8197513570254672</v>
      </c>
      <c r="H514" s="197">
        <v>84.827051790418778</v>
      </c>
      <c r="I514" s="197">
        <v>-7.1394075858489572</v>
      </c>
      <c r="J514" s="198">
        <v>1.039061126213733E-4</v>
      </c>
    </row>
    <row r="515" spans="1:10">
      <c r="A515" s="196">
        <v>1</v>
      </c>
      <c r="B515">
        <v>23</v>
      </c>
      <c r="C515" s="196">
        <v>17</v>
      </c>
      <c r="D515" s="196">
        <v>55</v>
      </c>
      <c r="E515" s="197">
        <v>95.468166703630246</v>
      </c>
      <c r="F515" s="197">
        <v>0.24054043675791409</v>
      </c>
      <c r="G515" s="198">
        <v>0.8197513570254672</v>
      </c>
      <c r="H515" s="197">
        <v>94.848024321708436</v>
      </c>
      <c r="I515" s="197">
        <v>-0.64958027721111011</v>
      </c>
      <c r="J515" s="198">
        <v>0.22860189038914136</v>
      </c>
    </row>
    <row r="516" spans="1:10">
      <c r="A516" s="196">
        <v>1</v>
      </c>
      <c r="B516">
        <v>23</v>
      </c>
      <c r="C516" s="196">
        <v>17</v>
      </c>
      <c r="D516" s="196">
        <v>56</v>
      </c>
      <c r="E516" s="197">
        <v>31.659109652350466</v>
      </c>
      <c r="F516" s="197">
        <v>-0.64643214425672635</v>
      </c>
      <c r="G516" s="198">
        <v>0.35141398378538968</v>
      </c>
      <c r="H516" s="197">
        <v>28.92982256690329</v>
      </c>
      <c r="I516" s="197">
        <v>-2.7292870854471758</v>
      </c>
      <c r="J516" s="198">
        <v>1.0060167656586122E-4</v>
      </c>
    </row>
    <row r="517" spans="1:10">
      <c r="A517" s="196">
        <v>1</v>
      </c>
      <c r="B517">
        <v>23</v>
      </c>
      <c r="C517" s="196">
        <v>18</v>
      </c>
      <c r="D517" s="196">
        <v>51</v>
      </c>
      <c r="E517" s="197">
        <v>20.113422218534669</v>
      </c>
      <c r="F517" s="197">
        <v>0.59735705698512465</v>
      </c>
      <c r="G517" s="198">
        <v>5.8287473109568395E-2</v>
      </c>
      <c r="H517" s="197">
        <v>21.286379718534672</v>
      </c>
      <c r="I517" s="197">
        <v>1.1729575000000025</v>
      </c>
      <c r="J517" s="198">
        <v>1.4092334935610849E-4</v>
      </c>
    </row>
    <row r="518" spans="1:10">
      <c r="A518" s="196">
        <v>1</v>
      </c>
      <c r="B518">
        <v>23</v>
      </c>
      <c r="C518" s="196">
        <v>18</v>
      </c>
      <c r="D518" s="196">
        <v>52</v>
      </c>
      <c r="E518" s="197">
        <v>61.106666666666669</v>
      </c>
      <c r="F518" s="197">
        <v>3.4678531701891009</v>
      </c>
      <c r="G518" s="198">
        <v>0.48873241159283265</v>
      </c>
      <c r="H518" s="197">
        <v>64.994252065931619</v>
      </c>
      <c r="I518" s="197">
        <v>6.3619660690567503</v>
      </c>
      <c r="J518" s="198">
        <v>0.64407851763642743</v>
      </c>
    </row>
    <row r="519" spans="1:10">
      <c r="A519" s="196">
        <v>1</v>
      </c>
      <c r="B519">
        <v>23</v>
      </c>
      <c r="C519" s="196">
        <v>18</v>
      </c>
      <c r="D519" s="196">
        <v>54</v>
      </c>
      <c r="E519" s="197">
        <v>80.454977813175532</v>
      </c>
      <c r="F519" s="197">
        <v>-1.4005149671822346</v>
      </c>
      <c r="G519" s="198">
        <v>0.47558364019455657</v>
      </c>
      <c r="H519" s="197">
        <v>73.031340075188126</v>
      </c>
      <c r="I519" s="197">
        <v>-7.4236377379874057</v>
      </c>
      <c r="J519" s="198">
        <v>2.5375211535694079E-4</v>
      </c>
    </row>
    <row r="520" spans="1:10">
      <c r="A520" s="196">
        <v>1</v>
      </c>
      <c r="B520">
        <v>23</v>
      </c>
      <c r="C520" s="196">
        <v>18</v>
      </c>
      <c r="D520" s="196">
        <v>55</v>
      </c>
      <c r="E520" s="197">
        <v>87.468635569646992</v>
      </c>
      <c r="F520" s="197">
        <v>-1.4005149671822346</v>
      </c>
      <c r="G520" s="198">
        <v>0.47558364019455657</v>
      </c>
      <c r="H520" s="197">
        <v>85.956936068501079</v>
      </c>
      <c r="I520" s="197">
        <v>-1.7282760743903718</v>
      </c>
      <c r="J520" s="198">
        <v>0.46710690128665289</v>
      </c>
    </row>
    <row r="521" spans="1:10">
      <c r="A521" s="196">
        <v>1</v>
      </c>
      <c r="B521">
        <v>23</v>
      </c>
      <c r="C521" s="196">
        <v>18</v>
      </c>
      <c r="D521" s="196">
        <v>56</v>
      </c>
      <c r="E521" s="197">
        <v>6.3106636920180952</v>
      </c>
      <c r="F521" s="197">
        <v>-0.5362673312379167</v>
      </c>
      <c r="G521" s="198">
        <v>3.8169650005958296E-2</v>
      </c>
      <c r="H521" s="197">
        <v>5.532559438158243</v>
      </c>
      <c r="I521" s="197">
        <v>-0.77810425385985216</v>
      </c>
      <c r="J521" s="198">
        <v>1.8729966965669211E-4</v>
      </c>
    </row>
    <row r="522" spans="1:10">
      <c r="A522" s="196">
        <v>1</v>
      </c>
      <c r="B522">
        <v>23</v>
      </c>
      <c r="C522" s="196">
        <v>19</v>
      </c>
      <c r="D522" s="196">
        <v>51</v>
      </c>
      <c r="E522" s="197">
        <v>22.531376343593802</v>
      </c>
      <c r="F522" s="197">
        <v>1.0487337164098767</v>
      </c>
      <c r="G522" s="198">
        <v>2.9651859070789015E-3</v>
      </c>
      <c r="H522" s="197">
        <v>23.489672510260466</v>
      </c>
      <c r="I522" s="197">
        <v>0.9582961666666634</v>
      </c>
      <c r="J522" s="198">
        <v>6.9986563053932391E-3</v>
      </c>
    </row>
    <row r="523" spans="1:10">
      <c r="A523" s="196">
        <v>1</v>
      </c>
      <c r="B523">
        <v>23</v>
      </c>
      <c r="C523" s="196">
        <v>19</v>
      </c>
      <c r="D523" s="196">
        <v>52</v>
      </c>
      <c r="E523" s="197">
        <v>56.087333333333326</v>
      </c>
      <c r="F523" s="197">
        <v>-1.5528809788654061</v>
      </c>
      <c r="G523" s="198">
        <v>0.79889098833156091</v>
      </c>
      <c r="H523" s="197">
        <v>54.280500531433042</v>
      </c>
      <c r="I523" s="197">
        <v>-3.2214631976922021</v>
      </c>
      <c r="J523" s="198">
        <v>0.83350282652005769</v>
      </c>
    </row>
    <row r="524" spans="1:10">
      <c r="A524" s="196">
        <v>1</v>
      </c>
      <c r="B524">
        <v>23</v>
      </c>
      <c r="C524" s="196">
        <v>19</v>
      </c>
      <c r="D524" s="196">
        <v>54</v>
      </c>
      <c r="E524" s="197">
        <v>94.697970129412553</v>
      </c>
      <c r="F524" s="197">
        <v>0.57625491286175401</v>
      </c>
      <c r="G524" s="198">
        <v>0.81737870784648081</v>
      </c>
      <c r="H524" s="197">
        <v>95.325624992947894</v>
      </c>
      <c r="I524" s="197">
        <v>0.62765486353534072</v>
      </c>
      <c r="J524" s="198">
        <v>0.43344337700436608</v>
      </c>
    </row>
    <row r="525" spans="1:10">
      <c r="A525" s="196">
        <v>1</v>
      </c>
      <c r="B525">
        <v>23</v>
      </c>
      <c r="C525" s="196">
        <v>19</v>
      </c>
      <c r="D525" s="196">
        <v>55</v>
      </c>
      <c r="E525" s="197">
        <v>84.781214712050897</v>
      </c>
      <c r="F525" s="197">
        <v>0.57625491286175401</v>
      </c>
      <c r="G525" s="198">
        <v>0.81737870784648081</v>
      </c>
      <c r="H525" s="197">
        <v>85.441539472768739</v>
      </c>
      <c r="I525" s="197">
        <v>0.77885739542722132</v>
      </c>
      <c r="J525" s="198">
        <v>0.75806618152199567</v>
      </c>
    </row>
    <row r="526" spans="1:10">
      <c r="A526" s="196">
        <v>1</v>
      </c>
      <c r="B526">
        <v>23</v>
      </c>
      <c r="C526" s="196">
        <v>19</v>
      </c>
      <c r="D526" s="196">
        <v>56</v>
      </c>
      <c r="E526" s="197">
        <v>5.6105942146320729</v>
      </c>
      <c r="F526" s="197">
        <v>-0.1262996317198157</v>
      </c>
      <c r="G526" s="198">
        <v>0.48278766767640702</v>
      </c>
      <c r="H526" s="197">
        <v>5.7007328124669101</v>
      </c>
      <c r="I526" s="197">
        <v>9.0138597834837242E-2</v>
      </c>
      <c r="J526" s="198">
        <v>0.59815417903154255</v>
      </c>
    </row>
    <row r="527" spans="1:10">
      <c r="A527" s="196">
        <v>1</v>
      </c>
      <c r="B527">
        <v>21</v>
      </c>
      <c r="C527" s="196">
        <v>13</v>
      </c>
      <c r="D527" s="196">
        <v>51</v>
      </c>
      <c r="E527" s="197">
        <v>23.496653796796974</v>
      </c>
      <c r="F527" s="197">
        <v>1.2256704166666665</v>
      </c>
      <c r="G527" s="198">
        <v>3.0294494659612752E-4</v>
      </c>
      <c r="H527" s="197">
        <v>94.924545457579839</v>
      </c>
      <c r="I527" s="197">
        <v>-1.3962382389978625</v>
      </c>
      <c r="J527" s="198">
        <v>0.85008278226853839</v>
      </c>
    </row>
    <row r="528" spans="1:10">
      <c r="A528" s="196">
        <v>1</v>
      </c>
      <c r="B528">
        <v>21</v>
      </c>
      <c r="C528" s="196">
        <v>13</v>
      </c>
      <c r="D528" s="196">
        <v>52</v>
      </c>
      <c r="E528" s="197">
        <v>88.215094598371181</v>
      </c>
      <c r="F528" s="197">
        <v>-7.0681938237007431</v>
      </c>
      <c r="G528" s="198">
        <v>0.54480751251953441</v>
      </c>
      <c r="H528" s="197">
        <v>68.876747089744953</v>
      </c>
      <c r="I528" s="197">
        <v>-0.32767322879877664</v>
      </c>
      <c r="J528" s="198">
        <v>0.58888971630921205</v>
      </c>
    </row>
    <row r="529" spans="1:10">
      <c r="A529" s="196">
        <v>1</v>
      </c>
      <c r="B529">
        <v>21</v>
      </c>
      <c r="C529" s="196">
        <v>13</v>
      </c>
      <c r="D529" s="196">
        <v>54</v>
      </c>
      <c r="E529" s="197">
        <v>42.717322483431232</v>
      </c>
      <c r="F529" s="197">
        <v>-37.980052356753355</v>
      </c>
      <c r="G529" s="198">
        <v>2.7135672980087094E-4</v>
      </c>
      <c r="H529" s="197">
        <v>56.143621380482401</v>
      </c>
      <c r="I529" s="197">
        <v>-12.733125709262552</v>
      </c>
      <c r="J529" s="198">
        <v>3.1107950464944389E-4</v>
      </c>
    </row>
    <row r="530" spans="1:10">
      <c r="A530" s="196">
        <v>1</v>
      </c>
      <c r="B530">
        <v>21</v>
      </c>
      <c r="C530" s="196">
        <v>13</v>
      </c>
      <c r="D530" s="196">
        <v>55</v>
      </c>
      <c r="E530" s="197">
        <v>96.323971501857159</v>
      </c>
      <c r="F530" s="197">
        <v>-0.80121696497143058</v>
      </c>
      <c r="G530" s="198">
        <v>0.70334575785299369</v>
      </c>
      <c r="H530" s="197">
        <v>4.687643286462297</v>
      </c>
      <c r="I530" s="197">
        <v>-0.81606700095449836</v>
      </c>
      <c r="J530" s="198">
        <v>1.2141697916974209E-5</v>
      </c>
    </row>
    <row r="531" spans="1:10">
      <c r="A531" s="196">
        <v>1</v>
      </c>
      <c r="B531">
        <v>21</v>
      </c>
      <c r="C531" s="196">
        <v>13</v>
      </c>
      <c r="D531" s="196">
        <v>56</v>
      </c>
      <c r="E531" s="197">
        <v>2.9037335491991891</v>
      </c>
      <c r="F531" s="197">
        <v>-38.055577787135782</v>
      </c>
      <c r="G531" s="198">
        <v>6.5722415530720913E-4</v>
      </c>
      <c r="H531" s="197">
        <v>4.6723420760713585</v>
      </c>
      <c r="I531" s="197">
        <v>-1.5301210390938458E-2</v>
      </c>
      <c r="J531" s="198">
        <v>0.92233265856857372</v>
      </c>
    </row>
    <row r="532" spans="1:10">
      <c r="A532" s="196">
        <v>1</v>
      </c>
      <c r="B532">
        <v>21</v>
      </c>
      <c r="C532" s="196">
        <v>14</v>
      </c>
      <c r="D532" s="196">
        <v>51</v>
      </c>
      <c r="E532" s="197">
        <v>15.555102596846879</v>
      </c>
      <c r="F532" s="197">
        <v>1.7470076166666662</v>
      </c>
      <c r="G532" s="198">
        <v>4.0524386226746957E-6</v>
      </c>
      <c r="H532" s="197">
        <v>80.422424250335425</v>
      </c>
      <c r="I532" s="197">
        <v>11.968004869648073</v>
      </c>
      <c r="J532" s="198">
        <v>0.14171258949924748</v>
      </c>
    </row>
    <row r="533" spans="1:10">
      <c r="A533" s="196">
        <v>1</v>
      </c>
      <c r="B533">
        <v>21</v>
      </c>
      <c r="C533" s="196">
        <v>14</v>
      </c>
      <c r="D533" s="196">
        <v>52</v>
      </c>
      <c r="E533" s="197">
        <v>73.397876890646884</v>
      </c>
      <c r="F533" s="197">
        <v>-8.7345630589583223</v>
      </c>
      <c r="G533" s="198">
        <v>0.33488102037053591</v>
      </c>
      <c r="H533" s="197">
        <v>96.836764860649524</v>
      </c>
      <c r="I533" s="197">
        <v>5.0673593475086944</v>
      </c>
      <c r="J533" s="198">
        <v>4.1140610631013548E-2</v>
      </c>
    </row>
    <row r="534" spans="1:10">
      <c r="A534" s="196">
        <v>1</v>
      </c>
      <c r="B534">
        <v>21</v>
      </c>
      <c r="C534" s="196">
        <v>14</v>
      </c>
      <c r="D534" s="196">
        <v>54</v>
      </c>
      <c r="E534" s="197">
        <v>73.739094811465733</v>
      </c>
      <c r="F534" s="197">
        <v>-23.852170281010423</v>
      </c>
      <c r="G534" s="198">
        <v>9.682483402992289E-5</v>
      </c>
      <c r="H534" s="197">
        <v>88.211098176129497</v>
      </c>
      <c r="I534" s="197">
        <v>-8.6256666845200272</v>
      </c>
      <c r="J534" s="198">
        <v>2.1949018668802772E-4</v>
      </c>
    </row>
    <row r="535" spans="1:10">
      <c r="A535" s="196">
        <v>1</v>
      </c>
      <c r="B535">
        <v>21</v>
      </c>
      <c r="C535" s="196">
        <v>14</v>
      </c>
      <c r="D535" s="196">
        <v>55</v>
      </c>
      <c r="E535" s="197">
        <v>81.697270873542081</v>
      </c>
      <c r="F535" s="197">
        <v>-3.3604039060333055</v>
      </c>
      <c r="G535" s="198">
        <v>0.25593689126381713</v>
      </c>
      <c r="H535" s="197">
        <v>5.7458113479186679</v>
      </c>
      <c r="I535" s="197">
        <v>0.32454933285011972</v>
      </c>
      <c r="J535" s="198">
        <v>9.7574978116500746E-2</v>
      </c>
    </row>
    <row r="536" spans="1:10">
      <c r="A536" s="196">
        <v>1</v>
      </c>
      <c r="B536">
        <v>21</v>
      </c>
      <c r="C536" s="196">
        <v>14</v>
      </c>
      <c r="D536" s="196">
        <v>56</v>
      </c>
      <c r="E536" s="197">
        <v>4.2679256220882698</v>
      </c>
      <c r="F536" s="197">
        <v>-25.721097271419112</v>
      </c>
      <c r="G536" s="198">
        <v>2.5659116401289482E-4</v>
      </c>
      <c r="H536" s="197">
        <v>5.9698837015194819</v>
      </c>
      <c r="I536" s="197">
        <v>0.22407235360081401</v>
      </c>
      <c r="J536" s="198">
        <v>0.24439027142837999</v>
      </c>
    </row>
    <row r="537" spans="1:10">
      <c r="A537" s="196">
        <v>1</v>
      </c>
      <c r="B537">
        <v>21</v>
      </c>
      <c r="C537" s="196">
        <v>15</v>
      </c>
      <c r="D537" s="196">
        <v>51</v>
      </c>
      <c r="E537" s="197">
        <v>5.5881434086595458</v>
      </c>
      <c r="F537" s="197">
        <v>0.84139593333333362</v>
      </c>
      <c r="G537" s="198">
        <v>4.8744054464432925E-2</v>
      </c>
      <c r="H537" s="197">
        <v>37.310606062917991</v>
      </c>
      <c r="I537" s="197">
        <v>2.7462230805379595</v>
      </c>
      <c r="J537" s="198">
        <v>0.61553202681663177</v>
      </c>
    </row>
    <row r="538" spans="1:10">
      <c r="A538" s="196">
        <v>1</v>
      </c>
      <c r="B538">
        <v>21</v>
      </c>
      <c r="C538" s="196">
        <v>15</v>
      </c>
      <c r="D538" s="196">
        <v>52</v>
      </c>
      <c r="E538" s="197">
        <v>39.971711162579936</v>
      </c>
      <c r="F538" s="197">
        <v>7.1323019925606248</v>
      </c>
      <c r="G538" s="198">
        <v>0.64268371716581174</v>
      </c>
      <c r="H538" s="197">
        <v>91.29996064855338</v>
      </c>
      <c r="I538" s="197">
        <v>-2.3557770390028581</v>
      </c>
      <c r="J538" s="198">
        <v>0.376725534791995</v>
      </c>
    </row>
    <row r="539" spans="1:10">
      <c r="A539" s="196">
        <v>1</v>
      </c>
      <c r="B539">
        <v>21</v>
      </c>
      <c r="C539" s="196">
        <v>15</v>
      </c>
      <c r="D539" s="196">
        <v>54</v>
      </c>
      <c r="E539" s="197">
        <v>21.286134323937688</v>
      </c>
      <c r="F539" s="197">
        <v>-76.685494525155676</v>
      </c>
      <c r="G539" s="198">
        <v>1.2844284164098925E-2</v>
      </c>
      <c r="H539" s="197">
        <v>86.032875831800837</v>
      </c>
      <c r="I539" s="197">
        <v>-5.2670848167525435</v>
      </c>
      <c r="J539" s="198">
        <v>8.5666495221438974E-2</v>
      </c>
    </row>
    <row r="540" spans="1:10">
      <c r="A540" s="196">
        <v>1</v>
      </c>
      <c r="B540">
        <v>21</v>
      </c>
      <c r="C540" s="196">
        <v>15</v>
      </c>
      <c r="D540" s="196">
        <v>55</v>
      </c>
      <c r="E540" s="197">
        <v>68.060393537337077</v>
      </c>
      <c r="F540" s="197">
        <v>1.4936568148957348</v>
      </c>
      <c r="G540" s="198">
        <v>0.78342890296500389</v>
      </c>
      <c r="H540" s="197">
        <v>3.0633422445183021</v>
      </c>
      <c r="I540" s="197">
        <v>9.6449503112645413E-2</v>
      </c>
      <c r="J540" s="198">
        <v>0.66052256476064075</v>
      </c>
    </row>
    <row r="541" spans="1:10">
      <c r="A541" s="196">
        <v>1</v>
      </c>
      <c r="B541">
        <v>21</v>
      </c>
      <c r="C541" s="196">
        <v>15</v>
      </c>
      <c r="D541" s="196">
        <v>56</v>
      </c>
      <c r="E541" s="197">
        <v>0.69562829189419251</v>
      </c>
      <c r="F541" s="197">
        <v>-77.291851958788328</v>
      </c>
      <c r="G541" s="198">
        <v>1.6665789725625185E-2</v>
      </c>
      <c r="H541" s="197">
        <v>3.4824076861778495</v>
      </c>
      <c r="I541" s="197">
        <v>0.4190654416595474</v>
      </c>
      <c r="J541" s="198">
        <v>4.6236264684095335E-2</v>
      </c>
    </row>
    <row r="542" spans="1:10">
      <c r="A542" s="196">
        <v>1</v>
      </c>
      <c r="B542">
        <v>21</v>
      </c>
      <c r="C542" s="196">
        <v>16</v>
      </c>
      <c r="D542" s="196">
        <v>51</v>
      </c>
      <c r="E542" s="197">
        <v>0.53884327250449948</v>
      </c>
      <c r="F542" s="197">
        <v>1.1636513444444436</v>
      </c>
      <c r="G542" s="198">
        <v>1.7626267816566892E-3</v>
      </c>
      <c r="H542" s="197">
        <v>-1.4137662549199208</v>
      </c>
      <c r="I542" s="197">
        <v>1.2</v>
      </c>
      <c r="J542" s="198">
        <v>0.01</v>
      </c>
    </row>
    <row r="543" spans="1:10">
      <c r="A543" s="196">
        <v>1</v>
      </c>
      <c r="B543">
        <v>21</v>
      </c>
      <c r="C543" s="196">
        <v>16</v>
      </c>
      <c r="D543" s="196">
        <v>52</v>
      </c>
      <c r="E543" s="197">
        <v>107.35516307614449</v>
      </c>
      <c r="F543" s="197">
        <v>12.187734742348379</v>
      </c>
      <c r="G543" s="198">
        <v>0.17647168030811089</v>
      </c>
      <c r="H543" s="197">
        <v>95.148521504270249</v>
      </c>
      <c r="I543" s="197">
        <v>-0.23487578081241497</v>
      </c>
      <c r="J543" s="198">
        <v>0.85510464106221007</v>
      </c>
    </row>
    <row r="544" spans="1:10">
      <c r="A544" s="196">
        <v>1</v>
      </c>
      <c r="B544">
        <v>21</v>
      </c>
      <c r="C544" s="196">
        <v>16</v>
      </c>
      <c r="D544" s="196">
        <v>54</v>
      </c>
      <c r="E544" s="197">
        <v>54.753039230219478</v>
      </c>
      <c r="F544" s="197">
        <v>-42.455186518308466</v>
      </c>
      <c r="G544" s="198">
        <v>2.2234370866293273E-2</v>
      </c>
      <c r="H544" s="197">
        <v>85.623887379730732</v>
      </c>
      <c r="I544" s="197">
        <v>-9.5246341245395172</v>
      </c>
      <c r="J544" s="198">
        <v>2.7740030670893464E-3</v>
      </c>
    </row>
    <row r="545" spans="1:10">
      <c r="A545" s="196">
        <v>1</v>
      </c>
      <c r="B545">
        <v>21</v>
      </c>
      <c r="C545" s="196">
        <v>16</v>
      </c>
      <c r="D545" s="196">
        <v>55</v>
      </c>
      <c r="E545" s="197">
        <v>94.255487673690013</v>
      </c>
      <c r="F545" s="197">
        <v>0.82476094698311231</v>
      </c>
      <c r="G545" s="198">
        <v>0.44937779846929959</v>
      </c>
      <c r="H545" s="197">
        <v>25.802545113196413</v>
      </c>
      <c r="I545" s="197">
        <v>-2.3444906166940126E-2</v>
      </c>
      <c r="J545" s="198">
        <v>0.96512920149455883</v>
      </c>
    </row>
    <row r="546" spans="1:10">
      <c r="A546" s="196">
        <v>1</v>
      </c>
      <c r="B546">
        <v>21</v>
      </c>
      <c r="C546" s="196">
        <v>16</v>
      </c>
      <c r="D546" s="196">
        <v>56</v>
      </c>
      <c r="E546" s="197">
        <v>10.701034532414685</v>
      </c>
      <c r="F546" s="197">
        <v>-58.527213166495869</v>
      </c>
      <c r="G546" s="198">
        <v>6.5780647263599494E-3</v>
      </c>
      <c r="H546" s="197">
        <v>27.481782350026215</v>
      </c>
      <c r="I546" s="197">
        <v>-58.527213166495869</v>
      </c>
      <c r="J546" s="198">
        <v>6.5780647263599494E-3</v>
      </c>
    </row>
    <row r="547" spans="1:10">
      <c r="A547" s="196">
        <v>1</v>
      </c>
      <c r="B547">
        <v>21</v>
      </c>
      <c r="C547" s="196">
        <v>17</v>
      </c>
      <c r="D547" s="196">
        <v>51</v>
      </c>
      <c r="E547" s="197">
        <v>10.81279657973047</v>
      </c>
      <c r="F547" s="197">
        <v>0.84077344444444435</v>
      </c>
      <c r="G547" s="198">
        <v>6.4327988237107621E-5</v>
      </c>
      <c r="H547" s="197">
        <v>102.43818181150338</v>
      </c>
      <c r="I547" s="197">
        <v>3.9372231646972922</v>
      </c>
      <c r="J547" s="198">
        <v>0.62368555079088095</v>
      </c>
    </row>
    <row r="548" spans="1:10">
      <c r="A548" s="196">
        <v>1</v>
      </c>
      <c r="B548">
        <v>21</v>
      </c>
      <c r="C548" s="196">
        <v>17</v>
      </c>
      <c r="D548" s="196">
        <v>52</v>
      </c>
      <c r="E548" s="197">
        <v>97.193772553198954</v>
      </c>
      <c r="F548" s="197">
        <v>-5.1195844806721329</v>
      </c>
      <c r="G548" s="198">
        <v>0.41437116371105531</v>
      </c>
      <c r="H548" s="197">
        <v>90.341302805649946</v>
      </c>
      <c r="I548" s="197">
        <v>0.92278535725871846</v>
      </c>
      <c r="J548" s="198">
        <v>0.34463341411954296</v>
      </c>
    </row>
    <row r="549" spans="1:10">
      <c r="A549" s="196">
        <v>1</v>
      </c>
      <c r="B549">
        <v>21</v>
      </c>
      <c r="C549" s="196">
        <v>17</v>
      </c>
      <c r="D549" s="196">
        <v>54</v>
      </c>
      <c r="E549" s="197">
        <v>25.247285056479853</v>
      </c>
      <c r="F549" s="197">
        <v>-72.0534414798135</v>
      </c>
      <c r="G549" s="198">
        <v>5.1035299109040699E-3</v>
      </c>
      <c r="H549" s="197">
        <v>82.106021647079373</v>
      </c>
      <c r="I549" s="197">
        <v>-8.2352811585705723</v>
      </c>
      <c r="J549" s="198">
        <v>5.1023355239241963E-5</v>
      </c>
    </row>
    <row r="550" spans="1:10">
      <c r="A550" s="196">
        <v>1</v>
      </c>
      <c r="B550">
        <v>21</v>
      </c>
      <c r="C550" s="196">
        <v>17</v>
      </c>
      <c r="D550" s="196">
        <v>55</v>
      </c>
      <c r="E550" s="197">
        <v>94.911624372158741</v>
      </c>
      <c r="F550" s="197">
        <v>-0.49500120387444635</v>
      </c>
      <c r="G550" s="198">
        <v>0.42638043845410978</v>
      </c>
      <c r="H550" s="197">
        <v>31.058662641622387</v>
      </c>
      <c r="I550" s="197">
        <v>-0.65996644504077095</v>
      </c>
      <c r="J550" s="198">
        <v>0.34794016070047995</v>
      </c>
    </row>
    <row r="551" spans="1:10">
      <c r="A551" s="196">
        <v>1</v>
      </c>
      <c r="B551">
        <v>21</v>
      </c>
      <c r="C551" s="196">
        <v>17</v>
      </c>
      <c r="D551" s="196">
        <v>56</v>
      </c>
      <c r="E551" s="197">
        <v>8.7019568872314146</v>
      </c>
      <c r="F551" s="197">
        <v>-71.982190644713299</v>
      </c>
      <c r="G551" s="198">
        <v>5.329065298434155E-3</v>
      </c>
      <c r="H551" s="197">
        <v>30.349905710151891</v>
      </c>
      <c r="I551" s="197">
        <v>-0.70875693147049645</v>
      </c>
      <c r="J551" s="198">
        <v>7.6461587519137106E-2</v>
      </c>
    </row>
    <row r="552" spans="1:10">
      <c r="A552" s="196">
        <v>1</v>
      </c>
      <c r="B552">
        <v>21</v>
      </c>
      <c r="C552" s="196">
        <v>18</v>
      </c>
      <c r="D552" s="196">
        <v>51</v>
      </c>
      <c r="E552" s="197">
        <v>21.27180407577136</v>
      </c>
      <c r="F552" s="197">
        <v>1.1176727666666757</v>
      </c>
      <c r="G552" s="198">
        <v>3.0628238656961622E-4</v>
      </c>
      <c r="H552" s="197">
        <v>59.713939384185906</v>
      </c>
      <c r="I552" s="197">
        <v>-6.9101425994357566</v>
      </c>
      <c r="J552" s="198">
        <v>0.10212159549265085</v>
      </c>
    </row>
    <row r="553" spans="1:10">
      <c r="A553" s="196">
        <v>1</v>
      </c>
      <c r="B553">
        <v>21</v>
      </c>
      <c r="C553" s="196">
        <v>18</v>
      </c>
      <c r="D553" s="196">
        <v>52</v>
      </c>
      <c r="E553" s="197">
        <v>55.877545582671701</v>
      </c>
      <c r="F553" s="197">
        <v>-6.4246201826205382</v>
      </c>
      <c r="G553" s="198">
        <v>0.61700981053075177</v>
      </c>
      <c r="H553" s="197">
        <v>80.607329782806957</v>
      </c>
      <c r="I553" s="197">
        <v>2.7828572537307701</v>
      </c>
      <c r="J553" s="198">
        <v>9.8460432977224205E-2</v>
      </c>
    </row>
    <row r="554" spans="1:10">
      <c r="A554" s="196">
        <v>1</v>
      </c>
      <c r="B554">
        <v>21</v>
      </c>
      <c r="C554" s="196">
        <v>18</v>
      </c>
      <c r="D554" s="196">
        <v>54</v>
      </c>
      <c r="E554" s="197">
        <v>119.81989199063514</v>
      </c>
      <c r="F554" s="197">
        <v>48.646397683045414</v>
      </c>
      <c r="G554" s="198">
        <v>2.1798290026391078E-4</v>
      </c>
      <c r="H554" s="197">
        <v>71.61247122767476</v>
      </c>
      <c r="I554" s="197">
        <v>-8.9948585551321969</v>
      </c>
      <c r="J554" s="198">
        <v>4.0220982625660464E-4</v>
      </c>
    </row>
    <row r="555" spans="1:10">
      <c r="A555" s="196">
        <v>1</v>
      </c>
      <c r="B555">
        <v>21</v>
      </c>
      <c r="C555" s="196">
        <v>18</v>
      </c>
      <c r="D555" s="196">
        <v>55</v>
      </c>
      <c r="E555" s="197">
        <v>88.910185429653623</v>
      </c>
      <c r="F555" s="197">
        <v>0.75685197119114545</v>
      </c>
      <c r="G555" s="198">
        <v>0.71368263642424923</v>
      </c>
      <c r="H555" s="197">
        <v>6.3573929448903135</v>
      </c>
      <c r="I555" s="197">
        <v>-0.27561843197485819</v>
      </c>
      <c r="J555" s="198">
        <v>0.15409833467302958</v>
      </c>
    </row>
    <row r="556" spans="1:10">
      <c r="A556" s="196">
        <v>1</v>
      </c>
      <c r="B556">
        <v>21</v>
      </c>
      <c r="C556" s="196">
        <v>18</v>
      </c>
      <c r="D556" s="196">
        <v>56</v>
      </c>
      <c r="E556" s="197">
        <v>9.511120865610831</v>
      </c>
      <c r="F556" s="197">
        <v>49.607251715584034</v>
      </c>
      <c r="G556" s="198">
        <v>4.9745405443860373E-4</v>
      </c>
      <c r="H556" s="197">
        <v>6.3724276312080876</v>
      </c>
      <c r="I556" s="197">
        <v>1.503468631777416E-2</v>
      </c>
      <c r="J556" s="198">
        <v>0.93252988110336266</v>
      </c>
    </row>
    <row r="557" spans="1:10">
      <c r="A557" s="196">
        <v>1</v>
      </c>
      <c r="B557">
        <v>21</v>
      </c>
      <c r="C557" s="196">
        <v>19</v>
      </c>
      <c r="D557" s="196">
        <v>51</v>
      </c>
      <c r="E557" s="197">
        <v>23.572873142234609</v>
      </c>
      <c r="F557" s="197">
        <v>1.0677910333333323</v>
      </c>
      <c r="G557" s="198">
        <v>2.7208649125071583E-3</v>
      </c>
      <c r="H557" s="197">
        <v>51.613636365009064</v>
      </c>
      <c r="I557" s="197">
        <v>-1.1096167426582331</v>
      </c>
      <c r="J557" s="198">
        <v>0.8369688101655044</v>
      </c>
    </row>
    <row r="558" spans="1:10">
      <c r="A558" s="196">
        <v>1</v>
      </c>
      <c r="B558">
        <v>21</v>
      </c>
      <c r="C558" s="196">
        <v>19</v>
      </c>
      <c r="D558" s="196">
        <v>52</v>
      </c>
      <c r="E558" s="197">
        <v>48.278306144912143</v>
      </c>
      <c r="F558" s="197">
        <v>-6.4621105099234448</v>
      </c>
      <c r="G558" s="198">
        <v>0.6493078792629261</v>
      </c>
      <c r="H558" s="197">
        <v>95.596544983243604</v>
      </c>
      <c r="I558" s="197">
        <v>4.2667119261096814E-2</v>
      </c>
      <c r="J558" s="198">
        <v>0.98385669843928514</v>
      </c>
    </row>
    <row r="559" spans="1:10">
      <c r="A559" s="196">
        <v>1</v>
      </c>
      <c r="B559">
        <v>21</v>
      </c>
      <c r="C559" s="196">
        <v>19</v>
      </c>
      <c r="D559" s="196">
        <v>54</v>
      </c>
      <c r="E559" s="197">
        <v>51.733055017996804</v>
      </c>
      <c r="F559" s="197">
        <v>-45.88396994152383</v>
      </c>
      <c r="G559" s="198">
        <v>7.67527057783279E-3</v>
      </c>
      <c r="H559" s="197">
        <v>95.102269706255029</v>
      </c>
      <c r="I559" s="197">
        <v>-0.49427527698857432</v>
      </c>
      <c r="J559" s="198">
        <v>0.57391940989689783</v>
      </c>
    </row>
    <row r="560" spans="1:10">
      <c r="A560" s="196">
        <v>1</v>
      </c>
      <c r="B560">
        <v>21</v>
      </c>
      <c r="C560" s="196">
        <v>19</v>
      </c>
      <c r="D560" s="196">
        <v>55</v>
      </c>
      <c r="E560" s="197">
        <v>87.80199932551173</v>
      </c>
      <c r="F560" s="197">
        <v>1.322993116262118</v>
      </c>
      <c r="G560" s="198">
        <v>0.4915645992337131</v>
      </c>
      <c r="H560" s="197">
        <v>5.7880679670559534</v>
      </c>
      <c r="I560" s="197">
        <v>-0.14993387048255283</v>
      </c>
      <c r="J560" s="198">
        <v>0.29631070260365711</v>
      </c>
    </row>
    <row r="561" spans="1:10">
      <c r="A561" s="196">
        <v>1</v>
      </c>
      <c r="B561">
        <v>21</v>
      </c>
      <c r="C561" s="196">
        <v>19</v>
      </c>
      <c r="D561" s="196">
        <v>56</v>
      </c>
      <c r="E561" s="197">
        <v>3.1403680369362519</v>
      </c>
      <c r="F561" s="197">
        <v>-45.744105722145299</v>
      </c>
      <c r="G561" s="198">
        <v>5.0915617535578156E-3</v>
      </c>
      <c r="H561" s="197">
        <v>6.1054893255663547</v>
      </c>
      <c r="I561" s="197">
        <v>0.31742135851040132</v>
      </c>
      <c r="J561" s="198">
        <v>0.10392729673310186</v>
      </c>
    </row>
    <row r="562" spans="1:10">
      <c r="A562" s="196">
        <v>1</v>
      </c>
      <c r="B562">
        <v>9</v>
      </c>
      <c r="C562" s="196">
        <v>13</v>
      </c>
      <c r="D562" s="196">
        <v>51</v>
      </c>
      <c r="E562" s="197">
        <v>20.473215050810129</v>
      </c>
      <c r="F562" s="197">
        <v>0.96153359902945401</v>
      </c>
      <c r="G562" s="198">
        <v>5.7333480659368778E-4</v>
      </c>
      <c r="H562" s="197">
        <v>21.424218134143466</v>
      </c>
      <c r="I562" s="197">
        <v>0.95100308333333672</v>
      </c>
      <c r="J562" s="198">
        <v>6.8502246837936435E-3</v>
      </c>
    </row>
    <row r="563" spans="1:10">
      <c r="A563" s="196">
        <v>1</v>
      </c>
      <c r="B563">
        <v>9</v>
      </c>
      <c r="C563" s="196">
        <v>13</v>
      </c>
      <c r="D563" s="196">
        <v>52</v>
      </c>
      <c r="E563" s="197">
        <v>112.27400000000003</v>
      </c>
      <c r="F563" s="197">
        <v>-2.6732369299221292</v>
      </c>
      <c r="G563" s="198">
        <v>0.7721603371908845</v>
      </c>
      <c r="H563" s="197">
        <v>109.28675892947599</v>
      </c>
      <c r="I563" s="197">
        <v>-2.6606703871991995</v>
      </c>
      <c r="J563" s="198">
        <v>0.77606689699293685</v>
      </c>
    </row>
    <row r="564" spans="1:10">
      <c r="A564" s="196">
        <v>1</v>
      </c>
      <c r="B564">
        <v>9</v>
      </c>
      <c r="C564" s="196">
        <v>13</v>
      </c>
      <c r="D564" s="196">
        <v>54</v>
      </c>
      <c r="E564" s="197">
        <v>86.444012860943772</v>
      </c>
      <c r="F564" s="197">
        <v>0.17920402932587054</v>
      </c>
      <c r="G564" s="198">
        <v>0.79279948923153409</v>
      </c>
      <c r="H564" s="197">
        <v>82.54301144460598</v>
      </c>
      <c r="I564" s="197">
        <v>-3.9010014163377917</v>
      </c>
      <c r="J564" s="198">
        <v>5.7100714108252806E-2</v>
      </c>
    </row>
    <row r="565" spans="1:10">
      <c r="A565" s="196">
        <v>1</v>
      </c>
      <c r="B565">
        <v>9</v>
      </c>
      <c r="C565" s="196">
        <v>13</v>
      </c>
      <c r="D565" s="196">
        <v>55</v>
      </c>
      <c r="E565" s="197">
        <v>97.52610107255299</v>
      </c>
      <c r="F565" s="197">
        <v>0.17920402932587054</v>
      </c>
      <c r="G565" s="198">
        <v>0.79279948923153409</v>
      </c>
      <c r="H565" s="197">
        <v>97.675318877918798</v>
      </c>
      <c r="I565" s="197">
        <v>0.15300294354513755</v>
      </c>
      <c r="J565" s="198">
        <v>0.86186652661807761</v>
      </c>
    </row>
    <row r="566" spans="1:10">
      <c r="A566" s="196">
        <v>1</v>
      </c>
      <c r="B566">
        <v>9</v>
      </c>
      <c r="C566" s="196">
        <v>13</v>
      </c>
      <c r="D566" s="196">
        <v>56</v>
      </c>
      <c r="E566" s="197">
        <v>5.9064474516945866</v>
      </c>
      <c r="F566" s="197">
        <v>-0.57892675215353129</v>
      </c>
      <c r="G566" s="198">
        <v>2.9251452288766204E-3</v>
      </c>
      <c r="H566" s="197">
        <v>5.6596008408097731</v>
      </c>
      <c r="I566" s="197">
        <v>-0.24684661088481352</v>
      </c>
      <c r="J566" s="198">
        <v>0.13346781541684527</v>
      </c>
    </row>
    <row r="567" spans="1:10">
      <c r="A567" s="196">
        <v>1</v>
      </c>
      <c r="B567">
        <v>9</v>
      </c>
      <c r="C567" s="196">
        <v>14</v>
      </c>
      <c r="D567" s="196">
        <v>51</v>
      </c>
      <c r="E567" s="197">
        <v>11.199808601057979</v>
      </c>
      <c r="F567" s="197">
        <v>0.27139421159296134</v>
      </c>
      <c r="G567" s="198">
        <v>0.26443691106580769</v>
      </c>
      <c r="H567" s="197">
        <v>12.875028984391314</v>
      </c>
      <c r="I567" s="197">
        <v>1.6752203833333343</v>
      </c>
      <c r="J567" s="198">
        <v>2.3157351134230598E-6</v>
      </c>
    </row>
    <row r="568" spans="1:10">
      <c r="A568" s="196">
        <v>1</v>
      </c>
      <c r="B568">
        <v>9</v>
      </c>
      <c r="C568" s="196">
        <v>14</v>
      </c>
      <c r="D568" s="196">
        <v>52</v>
      </c>
      <c r="E568" s="197">
        <v>102.19933333333333</v>
      </c>
      <c r="F568" s="197">
        <v>16.142869855394885</v>
      </c>
      <c r="G568" s="198">
        <v>3.725066323048104E-2</v>
      </c>
      <c r="H568" s="197">
        <v>101.77974756725172</v>
      </c>
      <c r="I568" s="197">
        <v>-0.41055626528706562</v>
      </c>
      <c r="J568" s="198">
        <v>0.96400134554599892</v>
      </c>
    </row>
    <row r="569" spans="1:10">
      <c r="A569" s="196">
        <v>1</v>
      </c>
      <c r="B569">
        <v>9</v>
      </c>
      <c r="C569" s="196">
        <v>14</v>
      </c>
      <c r="D569" s="196">
        <v>54</v>
      </c>
      <c r="E569" s="197">
        <v>95.689044899165623</v>
      </c>
      <c r="F569" s="197">
        <v>3.9097696432903088</v>
      </c>
      <c r="G569" s="198">
        <v>7.0032663649811616E-2</v>
      </c>
      <c r="H569" s="197">
        <v>99.913919049960697</v>
      </c>
      <c r="I569" s="197">
        <v>4.224874150795074</v>
      </c>
      <c r="J569" s="198">
        <v>2.0839239384436365E-4</v>
      </c>
    </row>
    <row r="570" spans="1:10">
      <c r="A570" s="196">
        <v>1</v>
      </c>
      <c r="B570">
        <v>9</v>
      </c>
      <c r="C570" s="196">
        <v>14</v>
      </c>
      <c r="D570" s="196">
        <v>55</v>
      </c>
      <c r="E570" s="197">
        <v>90.690363051937666</v>
      </c>
      <c r="F570" s="197">
        <v>3.9097696432903088</v>
      </c>
      <c r="G570" s="198">
        <v>7.0032663649811616E-2</v>
      </c>
      <c r="H570" s="197">
        <v>90.303218194043126</v>
      </c>
      <c r="I570" s="197">
        <v>-0.42688643519137981</v>
      </c>
      <c r="J570" s="198">
        <v>0.84106035865660789</v>
      </c>
    </row>
    <row r="571" spans="1:10">
      <c r="A571" s="196">
        <v>1</v>
      </c>
      <c r="B571">
        <v>9</v>
      </c>
      <c r="C571" s="196">
        <v>14</v>
      </c>
      <c r="D571" s="196">
        <v>56</v>
      </c>
      <c r="E571" s="197">
        <v>6.0671592767756897</v>
      </c>
      <c r="F571" s="197">
        <v>0.31969777390992188</v>
      </c>
      <c r="G571" s="198">
        <v>2.31433494351568E-2</v>
      </c>
      <c r="H571" s="197">
        <v>6.3003782236012702</v>
      </c>
      <c r="I571" s="197">
        <v>0.23321894682558053</v>
      </c>
      <c r="J571" s="198">
        <v>0.15121227183556474</v>
      </c>
    </row>
    <row r="572" spans="1:10">
      <c r="A572" s="196">
        <v>1</v>
      </c>
      <c r="B572">
        <v>9</v>
      </c>
      <c r="C572" s="196">
        <v>15</v>
      </c>
      <c r="D572" s="196">
        <v>51</v>
      </c>
      <c r="E572" s="197">
        <v>1.3441777786993319</v>
      </c>
      <c r="F572" s="197">
        <v>1.3575202094232282</v>
      </c>
      <c r="G572" s="198">
        <v>2.6338242557720784E-2</v>
      </c>
      <c r="H572" s="197">
        <v>2.6859438453659989</v>
      </c>
      <c r="I572" s="197">
        <v>1.3417660666666671</v>
      </c>
      <c r="J572" s="198">
        <v>9.5907420874500986E-3</v>
      </c>
    </row>
    <row r="573" spans="1:10">
      <c r="A573" s="196">
        <v>1</v>
      </c>
      <c r="B573">
        <v>9</v>
      </c>
      <c r="C573" s="196">
        <v>15</v>
      </c>
      <c r="D573" s="196">
        <v>52</v>
      </c>
      <c r="E573" s="197">
        <v>44.293333333333329</v>
      </c>
      <c r="F573" s="197">
        <v>1.3125695216907698</v>
      </c>
      <c r="G573" s="198">
        <v>0.74706819319848361</v>
      </c>
      <c r="H573" s="197">
        <v>43.281002685832668</v>
      </c>
      <c r="I573" s="197">
        <v>-2.2855147068798756</v>
      </c>
      <c r="J573" s="198">
        <v>0.84545110743821161</v>
      </c>
    </row>
    <row r="574" spans="1:10">
      <c r="A574" s="196">
        <v>1</v>
      </c>
      <c r="B574">
        <v>9</v>
      </c>
      <c r="C574" s="196">
        <v>15</v>
      </c>
      <c r="D574" s="196">
        <v>54</v>
      </c>
      <c r="E574" s="197">
        <v>82.775062058387547</v>
      </c>
      <c r="F574" s="197">
        <v>5.3399384003655657</v>
      </c>
      <c r="G574" s="198">
        <v>0.14725062973675407</v>
      </c>
      <c r="H574" s="197">
        <v>87.036230655538063</v>
      </c>
      <c r="I574" s="197">
        <v>4.2611685971505153</v>
      </c>
      <c r="J574" s="198">
        <v>2.0768176404692834E-2</v>
      </c>
    </row>
    <row r="575" spans="1:10">
      <c r="A575" s="196">
        <v>1</v>
      </c>
      <c r="B575">
        <v>9</v>
      </c>
      <c r="C575" s="196">
        <v>15</v>
      </c>
      <c r="D575" s="196">
        <v>55</v>
      </c>
      <c r="E575" s="197">
        <v>75.126447538395226</v>
      </c>
      <c r="F575" s="197">
        <v>5.3399384003655657</v>
      </c>
      <c r="G575" s="198">
        <v>0.14725062973675407</v>
      </c>
      <c r="H575" s="197">
        <v>74.913304304237471</v>
      </c>
      <c r="I575" s="197">
        <v>-0.28371264866320128</v>
      </c>
      <c r="J575" s="198">
        <v>0.93535842782769285</v>
      </c>
    </row>
    <row r="576" spans="1:10">
      <c r="A576" s="196">
        <v>1</v>
      </c>
      <c r="B576">
        <v>9</v>
      </c>
      <c r="C576" s="196">
        <v>15</v>
      </c>
      <c r="D576" s="196">
        <v>56</v>
      </c>
      <c r="E576" s="197">
        <v>3.1220235178786706</v>
      </c>
      <c r="F576" s="197">
        <v>0.30928437165760791</v>
      </c>
      <c r="G576" s="198">
        <v>8.160769014597595E-2</v>
      </c>
      <c r="H576" s="197">
        <v>3.2974974930688878</v>
      </c>
      <c r="I576" s="197">
        <v>0.17547397519021724</v>
      </c>
      <c r="J576" s="198">
        <v>0.28349568643373946</v>
      </c>
    </row>
    <row r="577" spans="1:10">
      <c r="A577" s="196">
        <v>1</v>
      </c>
      <c r="B577">
        <v>9</v>
      </c>
      <c r="C577" s="196">
        <v>16</v>
      </c>
      <c r="D577" s="196">
        <v>51</v>
      </c>
      <c r="E577" s="197">
        <v>-3.7229207496719781</v>
      </c>
      <c r="F577" s="197">
        <v>0.39764566530363921</v>
      </c>
      <c r="G577" s="198">
        <v>0.4091759335315851</v>
      </c>
      <c r="H577" s="197">
        <v>-1.4137662549199208</v>
      </c>
      <c r="I577" s="197">
        <v>1.2</v>
      </c>
      <c r="J577" s="198">
        <v>0.01</v>
      </c>
    </row>
    <row r="578" spans="1:10">
      <c r="A578" s="196">
        <v>1</v>
      </c>
      <c r="B578">
        <v>9</v>
      </c>
      <c r="C578" s="196">
        <v>16</v>
      </c>
      <c r="D578" s="196">
        <v>52</v>
      </c>
      <c r="E578" s="197">
        <v>118.89066666666668</v>
      </c>
      <c r="F578" s="197">
        <v>-2.5786874304783058</v>
      </c>
      <c r="G578" s="198">
        <v>0.73939440317770666</v>
      </c>
      <c r="H578" s="197">
        <v>137.04144438484275</v>
      </c>
      <c r="I578" s="197">
        <v>15.266781007347985</v>
      </c>
      <c r="J578" s="198">
        <v>2.3995653912510441E-2</v>
      </c>
    </row>
    <row r="579" spans="1:10">
      <c r="A579" s="196">
        <v>1</v>
      </c>
      <c r="B579">
        <v>9</v>
      </c>
      <c r="C579" s="196">
        <v>16</v>
      </c>
      <c r="D579" s="196">
        <v>54</v>
      </c>
      <c r="E579" s="197">
        <v>87.277710514074755</v>
      </c>
      <c r="F579" s="197">
        <v>-0.57824199944211718</v>
      </c>
      <c r="G579" s="198">
        <v>0.41142731106350572</v>
      </c>
      <c r="H579" s="197">
        <v>88.537690693601846</v>
      </c>
      <c r="I579" s="197">
        <v>1.2599801795270906</v>
      </c>
      <c r="J579" s="198">
        <v>0.53805643569043715</v>
      </c>
    </row>
    <row r="580" spans="1:10">
      <c r="A580" s="196">
        <v>1</v>
      </c>
      <c r="B580">
        <v>9</v>
      </c>
      <c r="C580" s="196">
        <v>16</v>
      </c>
      <c r="D580" s="196">
        <v>55</v>
      </c>
      <c r="E580" s="197">
        <v>96.956894666836448</v>
      </c>
      <c r="F580" s="197">
        <v>-0.57824199944211718</v>
      </c>
      <c r="G580" s="198">
        <v>0.41142731106350572</v>
      </c>
      <c r="H580" s="197">
        <v>96.551158116589704</v>
      </c>
      <c r="I580" s="197">
        <v>-0.4184710655605689</v>
      </c>
      <c r="J580" s="198">
        <v>0.33405016927049369</v>
      </c>
    </row>
    <row r="581" spans="1:10">
      <c r="A581" s="196">
        <v>1</v>
      </c>
      <c r="B581">
        <v>9</v>
      </c>
      <c r="C581" s="196">
        <v>16</v>
      </c>
      <c r="D581" s="196">
        <v>56</v>
      </c>
      <c r="E581" s="197">
        <v>24.529380379304769</v>
      </c>
      <c r="F581" s="197">
        <v>0.60937354205557626</v>
      </c>
      <c r="G581" s="198">
        <v>0.48904788577315328</v>
      </c>
      <c r="H581" s="197">
        <v>24.773923651622024</v>
      </c>
      <c r="I581" s="197">
        <v>0.60937354205557626</v>
      </c>
      <c r="J581" s="198">
        <v>0.48904788577315328</v>
      </c>
    </row>
    <row r="582" spans="1:10">
      <c r="A582" s="196">
        <v>1</v>
      </c>
      <c r="B582">
        <v>9</v>
      </c>
      <c r="C582" s="196">
        <v>17</v>
      </c>
      <c r="D582" s="196">
        <v>51</v>
      </c>
      <c r="E582" s="197">
        <v>8.6527295084618459</v>
      </c>
      <c r="F582" s="197">
        <v>0.493165992497894</v>
      </c>
      <c r="G582" s="198">
        <v>7.3986396996573514E-2</v>
      </c>
      <c r="H582" s="197">
        <v>9.5041247195729568</v>
      </c>
      <c r="I582" s="197">
        <v>0.85139521111111094</v>
      </c>
      <c r="J582" s="198">
        <v>1.1010082940577106E-3</v>
      </c>
    </row>
    <row r="583" spans="1:10">
      <c r="A583" s="196">
        <v>1</v>
      </c>
      <c r="B583">
        <v>9</v>
      </c>
      <c r="C583" s="196">
        <v>17</v>
      </c>
      <c r="D583" s="196">
        <v>52</v>
      </c>
      <c r="E583" s="197">
        <v>127.15000000000002</v>
      </c>
      <c r="F583" s="197">
        <v>5.3884315906562898</v>
      </c>
      <c r="G583" s="198">
        <v>0.45938755734464964</v>
      </c>
      <c r="H583" s="197">
        <v>123.10872984563005</v>
      </c>
      <c r="I583" s="197">
        <v>-3.1783485288005981</v>
      </c>
      <c r="J583" s="198">
        <v>0.65580563038943673</v>
      </c>
    </row>
    <row r="584" spans="1:10">
      <c r="A584" s="196">
        <v>1</v>
      </c>
      <c r="B584">
        <v>9</v>
      </c>
      <c r="C584" s="196">
        <v>17</v>
      </c>
      <c r="D584" s="196">
        <v>54</v>
      </c>
      <c r="E584" s="197">
        <v>96.60556882322912</v>
      </c>
      <c r="F584" s="197">
        <v>-3.7201743331371204E-2</v>
      </c>
      <c r="G584" s="198">
        <v>0.93849317490882589</v>
      </c>
      <c r="H584" s="197">
        <v>92.158857476111493</v>
      </c>
      <c r="I584" s="197">
        <v>-4.4467113471176276</v>
      </c>
      <c r="J584" s="198">
        <v>2.7062272262376387E-3</v>
      </c>
    </row>
    <row r="585" spans="1:10">
      <c r="A585" s="196">
        <v>1</v>
      </c>
      <c r="B585">
        <v>9</v>
      </c>
      <c r="C585" s="196">
        <v>17</v>
      </c>
      <c r="D585" s="196">
        <v>55</v>
      </c>
      <c r="E585" s="197">
        <v>97.998727518265312</v>
      </c>
      <c r="F585" s="197">
        <v>-3.7201743331371204E-2</v>
      </c>
      <c r="G585" s="198">
        <v>0.93849317490882589</v>
      </c>
      <c r="H585" s="197">
        <v>97.72115778761011</v>
      </c>
      <c r="I585" s="197">
        <v>-0.28323809674311307</v>
      </c>
      <c r="J585" s="198">
        <v>0.57519469125629441</v>
      </c>
    </row>
    <row r="586" spans="1:10">
      <c r="A586" s="196">
        <v>1</v>
      </c>
      <c r="B586">
        <v>9</v>
      </c>
      <c r="C586" s="196">
        <v>17</v>
      </c>
      <c r="D586" s="196">
        <v>56</v>
      </c>
      <c r="E586" s="197">
        <v>34.086512138962576</v>
      </c>
      <c r="F586" s="197">
        <v>-3.0300069890782242E-2</v>
      </c>
      <c r="G586" s="198">
        <v>0.9377519911726544</v>
      </c>
      <c r="H586" s="197">
        <v>32.422241182148269</v>
      </c>
      <c r="I586" s="197">
        <v>-1.6642709568143061</v>
      </c>
      <c r="J586" s="198">
        <v>2.8251965213868173E-3</v>
      </c>
    </row>
    <row r="587" spans="1:10">
      <c r="A587" s="196">
        <v>1</v>
      </c>
      <c r="B587">
        <v>9</v>
      </c>
      <c r="C587" s="196">
        <v>18</v>
      </c>
      <c r="D587" s="196">
        <v>51</v>
      </c>
      <c r="E587" s="197">
        <v>18.921466666327582</v>
      </c>
      <c r="F587" s="197">
        <v>0.51192584138558528</v>
      </c>
      <c r="G587" s="198">
        <v>0.18725340393782341</v>
      </c>
      <c r="H587" s="197">
        <v>19.962994699660911</v>
      </c>
      <c r="I587" s="197">
        <v>1.0415280333333286</v>
      </c>
      <c r="J587" s="198">
        <v>1.1494525619830242E-3</v>
      </c>
    </row>
    <row r="588" spans="1:10">
      <c r="A588" s="196">
        <v>1</v>
      </c>
      <c r="B588">
        <v>9</v>
      </c>
      <c r="C588" s="196">
        <v>18</v>
      </c>
      <c r="D588" s="196">
        <v>52</v>
      </c>
      <c r="E588" s="197">
        <v>70.454666666666668</v>
      </c>
      <c r="F588" s="197">
        <v>-4.3337931034482748</v>
      </c>
      <c r="G588" s="198">
        <v>0.50496218370183299</v>
      </c>
      <c r="H588" s="197">
        <v>72.921713682027942</v>
      </c>
      <c r="I588" s="197">
        <v>3.5016090943035825</v>
      </c>
      <c r="J588" s="198">
        <v>0.69425149496553673</v>
      </c>
    </row>
    <row r="589" spans="1:10">
      <c r="A589" s="196">
        <v>1</v>
      </c>
      <c r="B589">
        <v>9</v>
      </c>
      <c r="C589" s="196">
        <v>18</v>
      </c>
      <c r="D589" s="196">
        <v>54</v>
      </c>
      <c r="E589" s="197">
        <v>88.318986339662629</v>
      </c>
      <c r="F589" s="197">
        <v>1.3097765914342887</v>
      </c>
      <c r="G589" s="198">
        <v>0.63987513741779845</v>
      </c>
      <c r="H589" s="197">
        <v>84.957739648791474</v>
      </c>
      <c r="I589" s="197">
        <v>-3.3612466908711554</v>
      </c>
      <c r="J589" s="198">
        <v>4.8021772695918882E-3</v>
      </c>
    </row>
    <row r="590" spans="1:10">
      <c r="A590" s="196">
        <v>1</v>
      </c>
      <c r="B590">
        <v>9</v>
      </c>
      <c r="C590" s="196">
        <v>18</v>
      </c>
      <c r="D590" s="196">
        <v>55</v>
      </c>
      <c r="E590" s="197">
        <v>83.399509157879891</v>
      </c>
      <c r="F590" s="197">
        <v>1.3097765914342887</v>
      </c>
      <c r="G590" s="198">
        <v>0.63987513741779845</v>
      </c>
      <c r="H590" s="197">
        <v>82.186608078143522</v>
      </c>
      <c r="I590" s="197">
        <v>-1.454326400698938</v>
      </c>
      <c r="J590" s="198">
        <v>0.71300963572434772</v>
      </c>
    </row>
    <row r="591" spans="1:10">
      <c r="A591" s="196">
        <v>1</v>
      </c>
      <c r="B591">
        <v>9</v>
      </c>
      <c r="C591" s="196">
        <v>18</v>
      </c>
      <c r="D591" s="196">
        <v>56</v>
      </c>
      <c r="E591" s="197">
        <v>6.5836889743727891</v>
      </c>
      <c r="F591" s="197">
        <v>-0.16874605267005913</v>
      </c>
      <c r="G591" s="198">
        <v>0.55081888290106795</v>
      </c>
      <c r="H591" s="197">
        <v>6.2268525207326855</v>
      </c>
      <c r="I591" s="197">
        <v>-0.35683645364010363</v>
      </c>
      <c r="J591" s="198">
        <v>0.17596858620882017</v>
      </c>
    </row>
    <row r="592" spans="1:10">
      <c r="A592" s="196">
        <v>1</v>
      </c>
      <c r="B592">
        <v>9</v>
      </c>
      <c r="C592" s="196">
        <v>19</v>
      </c>
      <c r="D592" s="196">
        <v>51</v>
      </c>
      <c r="E592" s="197">
        <v>20.924279566652036</v>
      </c>
      <c r="F592" s="197">
        <v>1.0074835788924303</v>
      </c>
      <c r="G592" s="198">
        <v>4.8184060034008663E-3</v>
      </c>
      <c r="H592" s="197">
        <v>21.689849933318701</v>
      </c>
      <c r="I592" s="197">
        <v>0.76557036666666534</v>
      </c>
      <c r="J592" s="198">
        <v>3.2311437897384075E-2</v>
      </c>
    </row>
    <row r="593" spans="1:10">
      <c r="A593" s="196">
        <v>1</v>
      </c>
      <c r="B593">
        <v>9</v>
      </c>
      <c r="C593" s="196">
        <v>19</v>
      </c>
      <c r="D593" s="196">
        <v>52</v>
      </c>
      <c r="E593" s="197">
        <v>64.666666666666671</v>
      </c>
      <c r="F593" s="197">
        <v>4.9744160177975516</v>
      </c>
      <c r="G593" s="198">
        <v>0.50619706942910536</v>
      </c>
      <c r="H593" s="197">
        <v>63.409706162212309</v>
      </c>
      <c r="I593" s="197">
        <v>-1.9437533574036505</v>
      </c>
      <c r="J593" s="198">
        <v>0.86766978863754995</v>
      </c>
    </row>
    <row r="594" spans="1:10">
      <c r="A594" s="196">
        <v>1</v>
      </c>
      <c r="B594">
        <v>9</v>
      </c>
      <c r="C594" s="196">
        <v>19</v>
      </c>
      <c r="D594" s="196">
        <v>54</v>
      </c>
      <c r="E594" s="197">
        <v>95.207654465389595</v>
      </c>
      <c r="F594" s="197">
        <v>-2.251164958492708</v>
      </c>
      <c r="G594" s="198">
        <v>0.48180296284324919</v>
      </c>
      <c r="H594" s="197">
        <v>98.417045825450558</v>
      </c>
      <c r="I594" s="197">
        <v>3.2093913600609625</v>
      </c>
      <c r="J594" s="198">
        <v>5.0172056650572061E-2</v>
      </c>
    </row>
    <row r="595" spans="1:10">
      <c r="A595" s="196">
        <v>1</v>
      </c>
      <c r="B595">
        <v>9</v>
      </c>
      <c r="C595" s="196">
        <v>19</v>
      </c>
      <c r="D595" s="196">
        <v>55</v>
      </c>
      <c r="E595" s="197">
        <v>80.946072542821085</v>
      </c>
      <c r="F595" s="197">
        <v>-2.251164958492708</v>
      </c>
      <c r="G595" s="198">
        <v>0.48180296284324919</v>
      </c>
      <c r="H595" s="197">
        <v>81.621917308807966</v>
      </c>
      <c r="I595" s="197">
        <v>0.83493212796625582</v>
      </c>
      <c r="J595" s="198">
        <v>0.85515928755026027</v>
      </c>
    </row>
    <row r="596" spans="1:10">
      <c r="A596" s="196">
        <v>1</v>
      </c>
      <c r="B596">
        <v>9</v>
      </c>
      <c r="C596" s="196">
        <v>19</v>
      </c>
      <c r="D596" s="196">
        <v>56</v>
      </c>
      <c r="E596" s="197">
        <v>5.3950184252330144</v>
      </c>
      <c r="F596" s="197">
        <v>-0.13983394025543328</v>
      </c>
      <c r="G596" s="198">
        <v>0.53429578129818123</v>
      </c>
      <c r="H596" s="197">
        <v>5.6214630334627653</v>
      </c>
      <c r="I596" s="197">
        <v>0.22644460822975088</v>
      </c>
      <c r="J596" s="198">
        <v>0.41593760714649863</v>
      </c>
    </row>
    <row r="597" spans="1:10">
      <c r="A597" s="196">
        <v>1</v>
      </c>
      <c r="B597">
        <v>4</v>
      </c>
      <c r="C597" s="196">
        <v>13</v>
      </c>
      <c r="D597" s="196">
        <v>51</v>
      </c>
      <c r="E597" s="197">
        <v>18.544677420551199</v>
      </c>
      <c r="F597" s="197">
        <v>0.82588180776146702</v>
      </c>
      <c r="G597" s="198">
        <v>4.2283334503342588E-4</v>
      </c>
      <c r="H597" s="197">
        <v>19.336991987217868</v>
      </c>
      <c r="I597" s="197">
        <v>0.79231456666666844</v>
      </c>
      <c r="J597" s="198">
        <v>4.3106780227470274E-3</v>
      </c>
    </row>
    <row r="598" spans="1:10">
      <c r="A598" s="196">
        <v>1</v>
      </c>
      <c r="B598">
        <v>4</v>
      </c>
      <c r="C598" s="196">
        <v>13</v>
      </c>
      <c r="D598" s="196">
        <v>52</v>
      </c>
      <c r="E598" s="197">
        <v>162.3944444444445</v>
      </c>
      <c r="F598" s="197">
        <v>20.552836484983388</v>
      </c>
      <c r="G598" s="198">
        <v>9.417244864417619E-2</v>
      </c>
      <c r="H598" s="197">
        <v>173.19112905554579</v>
      </c>
      <c r="I598" s="197">
        <v>6.6484322465814722</v>
      </c>
      <c r="J598" s="198">
        <v>0.44678300773353441</v>
      </c>
    </row>
    <row r="599" spans="1:10">
      <c r="A599" s="196">
        <v>1</v>
      </c>
      <c r="B599">
        <v>4</v>
      </c>
      <c r="C599" s="196">
        <v>13</v>
      </c>
      <c r="D599" s="196">
        <v>54</v>
      </c>
      <c r="E599" s="197">
        <v>97.018099510968753</v>
      </c>
      <c r="F599" s="197">
        <v>-1.5829941553980866</v>
      </c>
      <c r="G599" s="198">
        <v>3.8648727629841936E-2</v>
      </c>
      <c r="H599" s="197">
        <v>99.120313941139287</v>
      </c>
      <c r="I599" s="197">
        <v>2.1022144301705339</v>
      </c>
      <c r="J599" s="198">
        <v>5.6790816604862231E-2</v>
      </c>
    </row>
    <row r="600" spans="1:10">
      <c r="A600" s="196">
        <v>1</v>
      </c>
      <c r="B600">
        <v>4</v>
      </c>
      <c r="C600" s="196">
        <v>13</v>
      </c>
      <c r="D600" s="196">
        <v>55</v>
      </c>
      <c r="E600" s="197">
        <v>96.578983939734584</v>
      </c>
      <c r="F600" s="197">
        <v>-1.5829941553980866</v>
      </c>
      <c r="G600" s="198">
        <v>3.8648727629841936E-2</v>
      </c>
      <c r="H600" s="197">
        <v>93.936131303177675</v>
      </c>
      <c r="I600" s="197">
        <v>-2.7364676337929237</v>
      </c>
      <c r="J600" s="198">
        <v>0.19542842808228711</v>
      </c>
    </row>
    <row r="601" spans="1:10">
      <c r="A601" s="196">
        <v>1</v>
      </c>
      <c r="B601">
        <v>4</v>
      </c>
      <c r="C601" s="196">
        <v>13</v>
      </c>
      <c r="D601" s="196">
        <v>56</v>
      </c>
      <c r="E601" s="197">
        <v>6.5589355850667328</v>
      </c>
      <c r="F601" s="197">
        <v>-0.26802060130429189</v>
      </c>
      <c r="G601" s="198">
        <v>6.0385964423155102E-4</v>
      </c>
      <c r="H601" s="197">
        <v>6.5166811913566711</v>
      </c>
      <c r="I601" s="197">
        <v>-4.2254393710061677E-2</v>
      </c>
      <c r="J601" s="198">
        <v>0.78705295686812904</v>
      </c>
    </row>
    <row r="602" spans="1:10">
      <c r="A602" s="196">
        <v>1</v>
      </c>
      <c r="B602">
        <v>4</v>
      </c>
      <c r="C602" s="196">
        <v>14</v>
      </c>
      <c r="D602" s="196">
        <v>51</v>
      </c>
      <c r="E602" s="197">
        <v>10.588831542198111</v>
      </c>
      <c r="F602" s="197">
        <v>2.5635028686128809E-3</v>
      </c>
      <c r="G602" s="198">
        <v>0.99001356961862297</v>
      </c>
      <c r="H602" s="197">
        <v>12.019233392198114</v>
      </c>
      <c r="I602" s="197">
        <v>1.4304018500000026</v>
      </c>
      <c r="J602" s="198">
        <v>8.015878339908703E-6</v>
      </c>
    </row>
    <row r="603" spans="1:10">
      <c r="A603" s="196">
        <v>1</v>
      </c>
      <c r="B603">
        <v>4</v>
      </c>
      <c r="C603" s="196">
        <v>14</v>
      </c>
      <c r="D603" s="196">
        <v>52</v>
      </c>
      <c r="E603" s="197">
        <v>105.23666666666666</v>
      </c>
      <c r="F603" s="197">
        <v>10.455839822024478</v>
      </c>
      <c r="G603" s="198">
        <v>0.1897018792386056</v>
      </c>
      <c r="H603" s="197">
        <v>112.48173614150457</v>
      </c>
      <c r="I603" s="197">
        <v>6.8845486124968183</v>
      </c>
      <c r="J603" s="198">
        <v>0.42123796426657256</v>
      </c>
    </row>
    <row r="604" spans="1:10">
      <c r="A604" s="196">
        <v>1</v>
      </c>
      <c r="B604">
        <v>4</v>
      </c>
      <c r="C604" s="196">
        <v>14</v>
      </c>
      <c r="D604" s="196">
        <v>54</v>
      </c>
      <c r="E604" s="197">
        <v>93.64347036630231</v>
      </c>
      <c r="F604" s="197">
        <v>2.0652384523553038</v>
      </c>
      <c r="G604" s="198">
        <v>0.18301235133639393</v>
      </c>
      <c r="H604" s="197">
        <v>98.953255314262861</v>
      </c>
      <c r="I604" s="197">
        <v>5.3097849479605514</v>
      </c>
      <c r="J604" s="198">
        <v>3.1499922560733453E-5</v>
      </c>
    </row>
    <row r="605" spans="1:10">
      <c r="A605" s="196">
        <v>1</v>
      </c>
      <c r="B605">
        <v>4</v>
      </c>
      <c r="C605" s="196">
        <v>14</v>
      </c>
      <c r="D605" s="196">
        <v>55</v>
      </c>
      <c r="E605" s="197">
        <v>91.722617793089526</v>
      </c>
      <c r="F605" s="197">
        <v>2.0652384523553038</v>
      </c>
      <c r="G605" s="198">
        <v>0.18301235133639393</v>
      </c>
      <c r="H605" s="197">
        <v>92.470244467077535</v>
      </c>
      <c r="I605" s="197">
        <v>0.8150952207606218</v>
      </c>
      <c r="J605" s="198">
        <v>0.64138271166582972</v>
      </c>
    </row>
    <row r="606" spans="1:10">
      <c r="A606" s="196">
        <v>1</v>
      </c>
      <c r="B606">
        <v>4</v>
      </c>
      <c r="C606" s="196">
        <v>14</v>
      </c>
      <c r="D606" s="196">
        <v>56</v>
      </c>
      <c r="E606" s="197">
        <v>6.0092927247445846</v>
      </c>
      <c r="F606" s="197">
        <v>0.1355820709599859</v>
      </c>
      <c r="G606" s="198">
        <v>0.22369561025220919</v>
      </c>
      <c r="H606" s="197">
        <v>6.4055069774628235</v>
      </c>
      <c r="I606" s="197">
        <v>0.39621425271823885</v>
      </c>
      <c r="J606" s="198">
        <v>7.2040120399708548E-3</v>
      </c>
    </row>
    <row r="607" spans="1:10">
      <c r="A607" s="196">
        <v>1</v>
      </c>
      <c r="B607">
        <v>4</v>
      </c>
      <c r="C607" s="196">
        <v>15</v>
      </c>
      <c r="D607" s="196">
        <v>51</v>
      </c>
      <c r="E607" s="197">
        <v>2.2788518504218915</v>
      </c>
      <c r="F607" s="197">
        <v>0.96899023373115056</v>
      </c>
      <c r="G607" s="198">
        <v>7.3109585267604901E-2</v>
      </c>
      <c r="H607" s="197">
        <v>3.4409272504218928</v>
      </c>
      <c r="I607" s="197">
        <v>1.1620754000000013</v>
      </c>
      <c r="J607" s="198">
        <v>2.1344404174867274E-2</v>
      </c>
    </row>
    <row r="608" spans="1:10">
      <c r="A608" s="196">
        <v>1</v>
      </c>
      <c r="B608">
        <v>4</v>
      </c>
      <c r="C608" s="196">
        <v>15</v>
      </c>
      <c r="D608" s="196">
        <v>52</v>
      </c>
      <c r="E608" s="197">
        <v>40.12222222222222</v>
      </c>
      <c r="F608" s="197">
        <v>2.5962180200222376</v>
      </c>
      <c r="G608" s="198">
        <v>0.46578196609798117</v>
      </c>
      <c r="H608" s="197">
        <v>42.587558480108619</v>
      </c>
      <c r="I608" s="197">
        <v>6.1445655832117456</v>
      </c>
      <c r="J608" s="198">
        <v>0.4848204755878216</v>
      </c>
    </row>
    <row r="609" spans="1:10">
      <c r="A609" s="196">
        <v>1</v>
      </c>
      <c r="B609">
        <v>4</v>
      </c>
      <c r="C609" s="196">
        <v>15</v>
      </c>
      <c r="D609" s="196">
        <v>54</v>
      </c>
      <c r="E609" s="197">
        <v>88.38350425442809</v>
      </c>
      <c r="F609" s="197">
        <v>3.3416066393778849</v>
      </c>
      <c r="G609" s="198">
        <v>0.2719435956991495</v>
      </c>
      <c r="H609" s="197">
        <v>91.025364361943971</v>
      </c>
      <c r="I609" s="197">
        <v>2.6418601075158819</v>
      </c>
      <c r="J609" s="198">
        <v>0.15850102509496222</v>
      </c>
    </row>
    <row r="610" spans="1:10">
      <c r="A610" s="196">
        <v>1</v>
      </c>
      <c r="B610">
        <v>4</v>
      </c>
      <c r="C610" s="196">
        <v>15</v>
      </c>
      <c r="D610" s="196">
        <v>55</v>
      </c>
      <c r="E610" s="197">
        <v>72.809934770644148</v>
      </c>
      <c r="F610" s="197">
        <v>3.3416066393778849</v>
      </c>
      <c r="G610" s="198">
        <v>0.2719435956991495</v>
      </c>
      <c r="H610" s="197">
        <v>73.764286871251727</v>
      </c>
      <c r="I610" s="197">
        <v>1.3107443422574723</v>
      </c>
      <c r="J610" s="198">
        <v>0.62698787870895956</v>
      </c>
    </row>
    <row r="611" spans="1:10">
      <c r="A611" s="196">
        <v>1</v>
      </c>
      <c r="B611">
        <v>4</v>
      </c>
      <c r="C611" s="196">
        <v>15</v>
      </c>
      <c r="D611" s="196">
        <v>56</v>
      </c>
      <c r="E611" s="197">
        <v>3.2143235371231844</v>
      </c>
      <c r="F611" s="197">
        <v>0.22477427922126708</v>
      </c>
      <c r="G611" s="198">
        <v>0.14350108539054129</v>
      </c>
      <c r="H611" s="197">
        <v>3.3990947557026772</v>
      </c>
      <c r="I611" s="197">
        <v>0.18477121857949275</v>
      </c>
      <c r="J611" s="198">
        <v>0.19745101376504526</v>
      </c>
    </row>
    <row r="612" spans="1:10">
      <c r="A612" s="196">
        <v>1</v>
      </c>
      <c r="B612">
        <v>4</v>
      </c>
      <c r="C612" s="196">
        <v>16</v>
      </c>
      <c r="D612" s="196">
        <v>51</v>
      </c>
      <c r="E612" s="197">
        <v>-2.5489914109795677</v>
      </c>
      <c r="F612" s="197">
        <v>0.28519015615674465</v>
      </c>
      <c r="G612" s="198">
        <v>0.59181191158580093</v>
      </c>
      <c r="H612" s="197">
        <v>-1.4137662549199208</v>
      </c>
      <c r="I612" s="197">
        <v>1.2</v>
      </c>
      <c r="J612" s="198">
        <v>0.01</v>
      </c>
    </row>
    <row r="613" spans="1:10">
      <c r="A613" s="196">
        <v>1</v>
      </c>
      <c r="B613">
        <v>4</v>
      </c>
      <c r="C613" s="196">
        <v>16</v>
      </c>
      <c r="D613" s="196">
        <v>52</v>
      </c>
      <c r="E613" s="197">
        <v>99.808888888888916</v>
      </c>
      <c r="F613" s="197">
        <v>4.7394883203559335</v>
      </c>
      <c r="G613" s="198">
        <v>0.31859293161295865</v>
      </c>
      <c r="H613" s="197">
        <v>110.62839465291934</v>
      </c>
      <c r="I613" s="197">
        <v>10.840222633953086</v>
      </c>
      <c r="J613" s="198">
        <v>7.1202168985197586E-2</v>
      </c>
    </row>
    <row r="614" spans="1:10">
      <c r="A614" s="196">
        <v>1</v>
      </c>
      <c r="B614">
        <v>4</v>
      </c>
      <c r="C614" s="196">
        <v>16</v>
      </c>
      <c r="D614" s="196">
        <v>54</v>
      </c>
      <c r="E614" s="197">
        <v>91.347691218933051</v>
      </c>
      <c r="F614" s="197">
        <v>0.48635089117722596</v>
      </c>
      <c r="G614" s="198">
        <v>0.40144874823119592</v>
      </c>
      <c r="H614" s="197">
        <v>90.531143910912022</v>
      </c>
      <c r="I614" s="197">
        <v>-0.81654730802102904</v>
      </c>
      <c r="J614" s="198">
        <v>0.62878545830739019</v>
      </c>
    </row>
    <row r="615" spans="1:10">
      <c r="A615" s="196">
        <v>1</v>
      </c>
      <c r="B615">
        <v>4</v>
      </c>
      <c r="C615" s="196">
        <v>16</v>
      </c>
      <c r="D615" s="196">
        <v>55</v>
      </c>
      <c r="E615" s="197">
        <v>95.704667363746239</v>
      </c>
      <c r="F615" s="197">
        <v>0.48635089117722596</v>
      </c>
      <c r="G615" s="198">
        <v>0.40144874823119592</v>
      </c>
      <c r="H615" s="197">
        <v>95.357276802141925</v>
      </c>
      <c r="I615" s="197">
        <v>-0.36298183899848779</v>
      </c>
      <c r="J615" s="198">
        <v>0.39259827676908554</v>
      </c>
    </row>
    <row r="616" spans="1:10">
      <c r="A616" s="196">
        <v>1</v>
      </c>
      <c r="B616">
        <v>4</v>
      </c>
      <c r="C616" s="196">
        <v>16</v>
      </c>
      <c r="D616" s="196">
        <v>56</v>
      </c>
      <c r="E616" s="197">
        <v>25.378378537774655</v>
      </c>
      <c r="F616" s="197">
        <v>0.61004936875178439</v>
      </c>
      <c r="G616" s="198">
        <v>0.44885705865353942</v>
      </c>
      <c r="H616" s="197">
        <v>25.046938905776774</v>
      </c>
      <c r="I616" s="197">
        <v>0.61004936875178439</v>
      </c>
      <c r="J616" s="198">
        <v>0.44885705865353942</v>
      </c>
    </row>
    <row r="617" spans="1:10">
      <c r="A617" s="196">
        <v>1</v>
      </c>
      <c r="B617">
        <v>4</v>
      </c>
      <c r="C617" s="196">
        <v>17</v>
      </c>
      <c r="D617" s="196">
        <v>51</v>
      </c>
      <c r="E617" s="197">
        <v>8.2375005962523105</v>
      </c>
      <c r="F617" s="197">
        <v>0.32904554634126704</v>
      </c>
      <c r="G617" s="198">
        <v>0.20824058541362045</v>
      </c>
      <c r="H617" s="197">
        <v>8.923404962918978</v>
      </c>
      <c r="I617" s="197">
        <v>0.68590436666666754</v>
      </c>
      <c r="J617" s="198">
        <v>8.1067752287981073E-3</v>
      </c>
    </row>
    <row r="618" spans="1:10">
      <c r="A618" s="196">
        <v>1</v>
      </c>
      <c r="B618">
        <v>4</v>
      </c>
      <c r="C618" s="196">
        <v>17</v>
      </c>
      <c r="D618" s="196">
        <v>52</v>
      </c>
      <c r="E618" s="197">
        <v>134.42555555555552</v>
      </c>
      <c r="F618" s="197">
        <v>11.433963663329681</v>
      </c>
      <c r="G618" s="198">
        <v>0.11940801885574126</v>
      </c>
      <c r="H618" s="197">
        <v>135.9669684844234</v>
      </c>
      <c r="I618" s="197">
        <v>1.1466665861989629</v>
      </c>
      <c r="J618" s="198">
        <v>0.87001947858425488</v>
      </c>
    </row>
    <row r="619" spans="1:10">
      <c r="A619" s="196">
        <v>1</v>
      </c>
      <c r="B619">
        <v>4</v>
      </c>
      <c r="C619" s="196">
        <v>17</v>
      </c>
      <c r="D619" s="196">
        <v>54</v>
      </c>
      <c r="E619" s="197">
        <v>97.646217435608278</v>
      </c>
      <c r="F619" s="197">
        <v>0.9189060558252139</v>
      </c>
      <c r="G619" s="198">
        <v>7.409582934521465E-3</v>
      </c>
      <c r="H619" s="197">
        <v>94.563522378877821</v>
      </c>
      <c r="I619" s="197">
        <v>-3.0826950567304578</v>
      </c>
      <c r="J619" s="198">
        <v>1.6172417137484962E-2</v>
      </c>
    </row>
    <row r="620" spans="1:10">
      <c r="A620" s="196">
        <v>1</v>
      </c>
      <c r="B620">
        <v>4</v>
      </c>
      <c r="C620" s="196">
        <v>17</v>
      </c>
      <c r="D620" s="196">
        <v>55</v>
      </c>
      <c r="E620" s="197">
        <v>98.465400416971534</v>
      </c>
      <c r="F620" s="197">
        <v>0.9189060558252139</v>
      </c>
      <c r="G620" s="198">
        <v>7.409582934521465E-3</v>
      </c>
      <c r="H620" s="197">
        <v>97.645456478623757</v>
      </c>
      <c r="I620" s="197">
        <v>-0.83272290050674247</v>
      </c>
      <c r="J620" s="198">
        <v>0.2909437074253618</v>
      </c>
    </row>
    <row r="621" spans="1:10">
      <c r="A621" s="196">
        <v>1</v>
      </c>
      <c r="B621">
        <v>4</v>
      </c>
      <c r="C621" s="196">
        <v>17</v>
      </c>
      <c r="D621" s="196">
        <v>56</v>
      </c>
      <c r="E621" s="197">
        <v>34.610762629997787</v>
      </c>
      <c r="F621" s="197">
        <v>0.38805423115478155</v>
      </c>
      <c r="G621" s="198">
        <v>0.15810779058080626</v>
      </c>
      <c r="H621" s="197">
        <v>33.221699256546685</v>
      </c>
      <c r="I621" s="197">
        <v>-1.3890633734511013</v>
      </c>
      <c r="J621" s="198">
        <v>4.5392272404328202E-3</v>
      </c>
    </row>
    <row r="622" spans="1:10">
      <c r="A622" s="196">
        <v>1</v>
      </c>
      <c r="B622">
        <v>4</v>
      </c>
      <c r="C622" s="196">
        <v>18</v>
      </c>
      <c r="D622" s="196">
        <v>51</v>
      </c>
      <c r="E622" s="197">
        <v>17.082518514703814</v>
      </c>
      <c r="F622" s="197">
        <v>0.58912865446960461</v>
      </c>
      <c r="G622" s="198">
        <v>2.7875161494961311E-2</v>
      </c>
      <c r="H622" s="197">
        <v>18.100816814703812</v>
      </c>
      <c r="I622" s="197">
        <v>1.0182982999999979</v>
      </c>
      <c r="J622" s="198">
        <v>7.3341679295056011E-4</v>
      </c>
    </row>
    <row r="623" spans="1:10">
      <c r="A623" s="196">
        <v>1</v>
      </c>
      <c r="B623">
        <v>4</v>
      </c>
      <c r="C623" s="196">
        <v>18</v>
      </c>
      <c r="D623" s="196">
        <v>52</v>
      </c>
      <c r="E623" s="197">
        <v>81.591111111111147</v>
      </c>
      <c r="F623" s="197">
        <v>-6.907823507601015</v>
      </c>
      <c r="G623" s="198">
        <v>0.36269409113277218</v>
      </c>
      <c r="H623" s="197">
        <v>87.964922533757814</v>
      </c>
      <c r="I623" s="197">
        <v>7.8118943789928101</v>
      </c>
      <c r="J623" s="198">
        <v>0.33151985927500505</v>
      </c>
    </row>
    <row r="624" spans="1:10">
      <c r="A624" s="196">
        <v>1</v>
      </c>
      <c r="B624">
        <v>4</v>
      </c>
      <c r="C624" s="196">
        <v>18</v>
      </c>
      <c r="D624" s="196">
        <v>54</v>
      </c>
      <c r="E624" s="197">
        <v>97.526348220541948</v>
      </c>
      <c r="F624" s="197">
        <v>3.2713073161640294</v>
      </c>
      <c r="G624" s="198">
        <v>0.35956938664396376</v>
      </c>
      <c r="H624" s="197">
        <v>97.766808593682995</v>
      </c>
      <c r="I624" s="197">
        <v>0.24046037314104751</v>
      </c>
      <c r="J624" s="198">
        <v>0.65756099984539218</v>
      </c>
    </row>
    <row r="625" spans="1:10">
      <c r="A625" s="196">
        <v>1</v>
      </c>
      <c r="B625">
        <v>4</v>
      </c>
      <c r="C625" s="196">
        <v>18</v>
      </c>
      <c r="D625" s="196">
        <v>55</v>
      </c>
      <c r="E625" s="197">
        <v>78.495790105988505</v>
      </c>
      <c r="F625" s="197">
        <v>3.2713073161640294</v>
      </c>
      <c r="G625" s="198">
        <v>0.35956938664396376</v>
      </c>
      <c r="H625" s="197">
        <v>74.246577047515032</v>
      </c>
      <c r="I625" s="197">
        <v>-5.4133005766755051</v>
      </c>
      <c r="J625" s="198">
        <v>0.29007110520253543</v>
      </c>
    </row>
    <row r="626" spans="1:10">
      <c r="A626" s="196">
        <v>1</v>
      </c>
      <c r="B626">
        <v>4</v>
      </c>
      <c r="C626" s="196">
        <v>18</v>
      </c>
      <c r="D626" s="196">
        <v>56</v>
      </c>
      <c r="E626" s="197">
        <v>6.8947433163108123</v>
      </c>
      <c r="F626" s="197">
        <v>0.24597749102519689</v>
      </c>
      <c r="G626" s="198">
        <v>0.45792955400215829</v>
      </c>
      <c r="H626" s="197">
        <v>6.5632672840053505</v>
      </c>
      <c r="I626" s="197">
        <v>-0.33147603230546174</v>
      </c>
      <c r="J626" s="198">
        <v>0.30535477173306469</v>
      </c>
    </row>
    <row r="627" spans="1:10">
      <c r="A627" s="196">
        <v>1</v>
      </c>
      <c r="B627">
        <v>4</v>
      </c>
      <c r="C627" s="196">
        <v>19</v>
      </c>
      <c r="D627" s="196">
        <v>51</v>
      </c>
      <c r="E627" s="197">
        <v>18.964587810133533</v>
      </c>
      <c r="F627" s="197">
        <v>1.0243831224156477</v>
      </c>
      <c r="G627" s="198">
        <v>1.2905700627864633E-3</v>
      </c>
      <c r="H627" s="197">
        <v>19.385961443466876</v>
      </c>
      <c r="I627" s="197">
        <v>0.42137363333334221</v>
      </c>
      <c r="J627" s="198">
        <v>0.18794817924459528</v>
      </c>
    </row>
    <row r="628" spans="1:10">
      <c r="A628" s="196">
        <v>1</v>
      </c>
      <c r="B628">
        <v>4</v>
      </c>
      <c r="C628" s="196">
        <v>19</v>
      </c>
      <c r="D628" s="196">
        <v>52</v>
      </c>
      <c r="E628" s="197">
        <v>104.5488888888889</v>
      </c>
      <c r="F628" s="197">
        <v>12.906637004078654</v>
      </c>
      <c r="G628" s="198">
        <v>0.29312780998952948</v>
      </c>
      <c r="H628" s="197">
        <v>126.16481743506218</v>
      </c>
      <c r="I628" s="197">
        <v>20.675426373154448</v>
      </c>
      <c r="J628" s="198">
        <v>7.6713726980009292E-2</v>
      </c>
    </row>
    <row r="629" spans="1:10">
      <c r="A629" s="196">
        <v>1</v>
      </c>
      <c r="B629">
        <v>4</v>
      </c>
      <c r="C629" s="196">
        <v>19</v>
      </c>
      <c r="D629" s="196">
        <v>54</v>
      </c>
      <c r="E629" s="197">
        <v>89.365770185694217</v>
      </c>
      <c r="F629" s="197">
        <v>-6.4898754302956663</v>
      </c>
      <c r="G629" s="198">
        <v>0.28058400634841407</v>
      </c>
      <c r="H629" s="197">
        <v>92.496094551734927</v>
      </c>
      <c r="I629" s="197">
        <v>3.1303243660407105</v>
      </c>
      <c r="J629" s="198">
        <v>0.1597471158934729</v>
      </c>
    </row>
    <row r="630" spans="1:10">
      <c r="A630" s="196">
        <v>1</v>
      </c>
      <c r="B630">
        <v>4</v>
      </c>
      <c r="C630" s="196">
        <v>19</v>
      </c>
      <c r="D630" s="196">
        <v>55</v>
      </c>
      <c r="E630" s="197">
        <v>62.164659109432606</v>
      </c>
      <c r="F630" s="197">
        <v>-6.4898754302956663</v>
      </c>
      <c r="G630" s="198">
        <v>0.28058400634841407</v>
      </c>
      <c r="H630" s="197">
        <v>55.155484485020459</v>
      </c>
      <c r="I630" s="197">
        <v>-11.275175839174842</v>
      </c>
      <c r="J630" s="198">
        <v>0.11452984889389084</v>
      </c>
    </row>
    <row r="631" spans="1:10">
      <c r="A631" s="196">
        <v>1</v>
      </c>
      <c r="B631">
        <v>4</v>
      </c>
      <c r="C631" s="196">
        <v>19</v>
      </c>
      <c r="D631" s="196">
        <v>56</v>
      </c>
      <c r="E631" s="197">
        <v>3.9249448330636447</v>
      </c>
      <c r="F631" s="197">
        <v>-0.14774692278320389</v>
      </c>
      <c r="G631" s="198">
        <v>0.71414802246281706</v>
      </c>
      <c r="H631" s="197">
        <v>3.6054270306853193</v>
      </c>
      <c r="I631" s="197">
        <v>-0.31951780237832539</v>
      </c>
      <c r="J631" s="198">
        <v>0.30745915248713451</v>
      </c>
    </row>
    <row r="632" spans="1:10">
      <c r="A632" s="196">
        <v>1</v>
      </c>
      <c r="B632">
        <v>2</v>
      </c>
      <c r="C632" s="196">
        <v>13</v>
      </c>
      <c r="D632" s="196">
        <v>51</v>
      </c>
      <c r="E632" s="197">
        <v>19.230211467944596</v>
      </c>
      <c r="F632" s="197">
        <v>0.994360995446812</v>
      </c>
      <c r="G632" s="198">
        <v>5.431051548072265E-4</v>
      </c>
      <c r="H632" s="197">
        <v>20.057785967944593</v>
      </c>
      <c r="I632" s="197">
        <v>0.82757449999999722</v>
      </c>
      <c r="J632" s="198">
        <v>8.5377964928930791E-3</v>
      </c>
    </row>
    <row r="633" spans="1:10">
      <c r="A633" s="196">
        <v>1</v>
      </c>
      <c r="B633">
        <v>2</v>
      </c>
      <c r="C633" s="196">
        <v>13</v>
      </c>
      <c r="D633" s="196">
        <v>52</v>
      </c>
      <c r="E633" s="197">
        <v>133.2294444444444</v>
      </c>
      <c r="F633" s="197">
        <v>-8.9190582128291105</v>
      </c>
      <c r="G633" s="198">
        <v>0.41697847154109513</v>
      </c>
      <c r="H633" s="197">
        <v>130.62921824061976</v>
      </c>
      <c r="I633" s="197">
        <v>-1.9516903449288983</v>
      </c>
      <c r="J633" s="198">
        <v>0.7847084112346856</v>
      </c>
    </row>
    <row r="634" spans="1:10">
      <c r="A634" s="196">
        <v>1</v>
      </c>
      <c r="B634">
        <v>2</v>
      </c>
      <c r="C634" s="196">
        <v>13</v>
      </c>
      <c r="D634" s="196">
        <v>54</v>
      </c>
      <c r="E634" s="197">
        <v>93.974236989567473</v>
      </c>
      <c r="F634" s="197">
        <v>0.18265793428470065</v>
      </c>
      <c r="G634" s="198">
        <v>0.78813788105152005</v>
      </c>
      <c r="H634" s="197">
        <v>94.259794821530519</v>
      </c>
      <c r="I634" s="197">
        <v>0.28555783196304674</v>
      </c>
      <c r="J634" s="198">
        <v>0.80896934289060152</v>
      </c>
    </row>
    <row r="635" spans="1:10">
      <c r="A635" s="196">
        <v>1</v>
      </c>
      <c r="B635">
        <v>2</v>
      </c>
      <c r="C635" s="196">
        <v>13</v>
      </c>
      <c r="D635" s="196">
        <v>55</v>
      </c>
      <c r="E635" s="197">
        <v>97.603945816241051</v>
      </c>
      <c r="F635" s="197">
        <v>0.18265793428470065</v>
      </c>
      <c r="G635" s="198">
        <v>0.78813788105152005</v>
      </c>
      <c r="H635" s="197">
        <v>97.672184446629515</v>
      </c>
      <c r="I635" s="197">
        <v>6.9913802990026613E-2</v>
      </c>
      <c r="J635" s="198">
        <v>0.9434484748077816</v>
      </c>
    </row>
    <row r="636" spans="1:10">
      <c r="A636" s="196">
        <v>1</v>
      </c>
      <c r="B636">
        <v>2</v>
      </c>
      <c r="C636" s="196">
        <v>13</v>
      </c>
      <c r="D636" s="196">
        <v>56</v>
      </c>
      <c r="E636" s="197">
        <v>6.4194746984249251</v>
      </c>
      <c r="F636" s="197">
        <v>-0.40077781833378734</v>
      </c>
      <c r="G636" s="198">
        <v>1.0696066352374843E-2</v>
      </c>
      <c r="H636" s="197">
        <v>6.4421427658404529</v>
      </c>
      <c r="I636" s="197">
        <v>2.2668067415527737E-2</v>
      </c>
      <c r="J636" s="198">
        <v>0.8329747452921834</v>
      </c>
    </row>
    <row r="637" spans="1:10">
      <c r="A637" s="196">
        <v>1</v>
      </c>
      <c r="B637">
        <v>2</v>
      </c>
      <c r="C637" s="196">
        <v>14</v>
      </c>
      <c r="D637" s="196">
        <v>51</v>
      </c>
      <c r="E637" s="197">
        <v>10.003202211588738</v>
      </c>
      <c r="F637" s="197">
        <v>0.34351563623472525</v>
      </c>
      <c r="G637" s="198">
        <v>0.15229911624382253</v>
      </c>
      <c r="H637" s="197">
        <v>11.585027211588738</v>
      </c>
      <c r="I637" s="197">
        <v>1.5818250000000003</v>
      </c>
      <c r="J637" s="198">
        <v>1.2568970599669366E-6</v>
      </c>
    </row>
    <row r="638" spans="1:10">
      <c r="A638" s="196">
        <v>1</v>
      </c>
      <c r="B638">
        <v>2</v>
      </c>
      <c r="C638" s="196">
        <v>14</v>
      </c>
      <c r="D638" s="196">
        <v>52</v>
      </c>
      <c r="E638" s="197">
        <v>103.0611111111111</v>
      </c>
      <c r="F638" s="197">
        <v>1.5358546533185</v>
      </c>
      <c r="G638" s="198">
        <v>0.80087229437021312</v>
      </c>
      <c r="H638" s="197">
        <v>107.36383606441468</v>
      </c>
      <c r="I638" s="197">
        <v>4.1749258346970235</v>
      </c>
      <c r="J638" s="198">
        <v>0.62261775270651865</v>
      </c>
    </row>
    <row r="639" spans="1:10">
      <c r="A639" s="196">
        <v>1</v>
      </c>
      <c r="B639">
        <v>2</v>
      </c>
      <c r="C639" s="196">
        <v>14</v>
      </c>
      <c r="D639" s="196">
        <v>54</v>
      </c>
      <c r="E639" s="197">
        <v>90.512134640857496</v>
      </c>
      <c r="F639" s="197">
        <v>0.64479907579911278</v>
      </c>
      <c r="G639" s="198">
        <v>0.59227576847080954</v>
      </c>
      <c r="H639" s="197">
        <v>97.847202148265524</v>
      </c>
      <c r="I639" s="197">
        <v>7.3350675074080272</v>
      </c>
      <c r="J639" s="198">
        <v>2.8171778941571428E-6</v>
      </c>
    </row>
    <row r="640" spans="1:10">
      <c r="A640" s="196">
        <v>1</v>
      </c>
      <c r="B640">
        <v>2</v>
      </c>
      <c r="C640" s="196">
        <v>14</v>
      </c>
      <c r="D640" s="196">
        <v>55</v>
      </c>
      <c r="E640" s="197">
        <v>92.384216997877758</v>
      </c>
      <c r="F640" s="197">
        <v>0.64479907579911278</v>
      </c>
      <c r="G640" s="198">
        <v>0.59227576847080954</v>
      </c>
      <c r="H640" s="197">
        <v>92.424268807927533</v>
      </c>
      <c r="I640" s="197">
        <v>4.3353520061430922E-2</v>
      </c>
      <c r="J640" s="198">
        <v>0.97747870568219142</v>
      </c>
    </row>
    <row r="641" spans="1:10">
      <c r="A641" s="196">
        <v>1</v>
      </c>
      <c r="B641">
        <v>2</v>
      </c>
      <c r="C641" s="196">
        <v>14</v>
      </c>
      <c r="D641" s="196">
        <v>56</v>
      </c>
      <c r="E641" s="197">
        <v>5.8431659664869136</v>
      </c>
      <c r="F641" s="197">
        <v>0.15746068311605035</v>
      </c>
      <c r="G641" s="198">
        <v>7.2564244766815264E-2</v>
      </c>
      <c r="H641" s="197">
        <v>6.3209091190755426</v>
      </c>
      <c r="I641" s="197">
        <v>0.47774315258862909</v>
      </c>
      <c r="J641" s="198">
        <v>1.3562727424328317E-3</v>
      </c>
    </row>
    <row r="642" spans="1:10">
      <c r="A642" s="196">
        <v>1</v>
      </c>
      <c r="B642">
        <v>2</v>
      </c>
      <c r="C642" s="196">
        <v>15</v>
      </c>
      <c r="D642" s="196">
        <v>51</v>
      </c>
      <c r="E642" s="197">
        <v>0.41992592579540233</v>
      </c>
      <c r="F642" s="197">
        <v>1.2692176493444485</v>
      </c>
      <c r="G642" s="198">
        <v>4.0254508785281869E-2</v>
      </c>
      <c r="H642" s="197">
        <v>1.9712681257954023</v>
      </c>
      <c r="I642" s="197">
        <v>1.5513422000000001</v>
      </c>
      <c r="J642" s="198">
        <v>6.8640749907012862E-3</v>
      </c>
    </row>
    <row r="643" spans="1:10">
      <c r="A643" s="196">
        <v>1</v>
      </c>
      <c r="B643">
        <v>2</v>
      </c>
      <c r="C643" s="196">
        <v>15</v>
      </c>
      <c r="D643" s="196">
        <v>52</v>
      </c>
      <c r="E643" s="197">
        <v>42.933888888888887</v>
      </c>
      <c r="F643" s="197">
        <v>2.4647015202076323</v>
      </c>
      <c r="G643" s="198">
        <v>0.48118369268797911</v>
      </c>
      <c r="H643" s="197">
        <v>44.489405082422927</v>
      </c>
      <c r="I643" s="197">
        <v>3.6230498419550381</v>
      </c>
      <c r="J643" s="198">
        <v>0.73032041916800094</v>
      </c>
    </row>
    <row r="644" spans="1:10">
      <c r="A644" s="196">
        <v>1</v>
      </c>
      <c r="B644">
        <v>2</v>
      </c>
      <c r="C644" s="196">
        <v>15</v>
      </c>
      <c r="D644" s="196">
        <v>54</v>
      </c>
      <c r="E644" s="197">
        <v>78.03602935548632</v>
      </c>
      <c r="F644" s="197">
        <v>6.9269102421124416</v>
      </c>
      <c r="G644" s="198">
        <v>8.8315421998551372E-2</v>
      </c>
      <c r="H644" s="197">
        <v>86.510803178616811</v>
      </c>
      <c r="I644" s="197">
        <v>8.4747738231304908</v>
      </c>
      <c r="J644" s="198">
        <v>5.3939134101755057E-3</v>
      </c>
    </row>
    <row r="645" spans="1:10">
      <c r="A645" s="196">
        <v>1</v>
      </c>
      <c r="B645">
        <v>2</v>
      </c>
      <c r="C645" s="196">
        <v>15</v>
      </c>
      <c r="D645" s="196">
        <v>55</v>
      </c>
      <c r="E645" s="197">
        <v>74.847102035491815</v>
      </c>
      <c r="F645" s="197">
        <v>6.9269102421124416</v>
      </c>
      <c r="G645" s="198">
        <v>8.8315421998551372E-2</v>
      </c>
      <c r="H645" s="197">
        <v>76.011033078024482</v>
      </c>
      <c r="I645" s="197">
        <v>1.5550783008014644</v>
      </c>
      <c r="J645" s="198">
        <v>0.6287644414218454</v>
      </c>
    </row>
    <row r="646" spans="1:10">
      <c r="A646" s="196">
        <v>1</v>
      </c>
      <c r="B646">
        <v>2</v>
      </c>
      <c r="C646" s="196">
        <v>15</v>
      </c>
      <c r="D646" s="196">
        <v>56</v>
      </c>
      <c r="E646" s="197">
        <v>2.9536758976144335</v>
      </c>
      <c r="F646" s="197">
        <v>0.32775194917296269</v>
      </c>
      <c r="G646" s="198">
        <v>8.2748007636110524E-2</v>
      </c>
      <c r="H646" s="197">
        <v>3.3934322976853033</v>
      </c>
      <c r="I646" s="197">
        <v>0.4397564000708698</v>
      </c>
      <c r="J646" s="198">
        <v>2.351769116319212E-2</v>
      </c>
    </row>
    <row r="647" spans="1:10">
      <c r="A647" s="196">
        <v>1</v>
      </c>
      <c r="B647">
        <v>2</v>
      </c>
      <c r="C647" s="196">
        <v>16</v>
      </c>
      <c r="D647" s="196">
        <v>51</v>
      </c>
      <c r="E647" s="197">
        <v>-4.6849579013209333</v>
      </c>
      <c r="F647" s="197">
        <v>0.39486619546758106</v>
      </c>
      <c r="G647" s="198">
        <v>0.4394725222760737</v>
      </c>
      <c r="H647" s="197">
        <v>-1.4137662549199208</v>
      </c>
      <c r="I647" s="197">
        <v>1.2</v>
      </c>
      <c r="J647" s="198">
        <v>0.01</v>
      </c>
    </row>
    <row r="648" spans="1:10">
      <c r="A648" s="196">
        <v>1</v>
      </c>
      <c r="B648">
        <v>2</v>
      </c>
      <c r="C648" s="196">
        <v>16</v>
      </c>
      <c r="D648" s="196">
        <v>52</v>
      </c>
      <c r="E648" s="197">
        <v>114.06</v>
      </c>
      <c r="F648" s="197">
        <v>-0.20244716351499634</v>
      </c>
      <c r="G648" s="198">
        <v>0.97658721075674204</v>
      </c>
      <c r="H648" s="197">
        <v>129.0361106081277</v>
      </c>
      <c r="I648" s="197">
        <v>13.130028588574177</v>
      </c>
      <c r="J648" s="198">
        <v>3.5173941416737617E-2</v>
      </c>
    </row>
    <row r="649" spans="1:10">
      <c r="A649" s="196">
        <v>1</v>
      </c>
      <c r="B649">
        <v>2</v>
      </c>
      <c r="C649" s="196">
        <v>16</v>
      </c>
      <c r="D649" s="196">
        <v>54</v>
      </c>
      <c r="E649" s="197">
        <v>81.678785529420367</v>
      </c>
      <c r="F649" s="197">
        <v>5.541442906027097E-2</v>
      </c>
      <c r="G649" s="198">
        <v>0.93524101706757756</v>
      </c>
      <c r="H649" s="197">
        <v>86.819960141335102</v>
      </c>
      <c r="I649" s="197">
        <v>5.1411746119147352</v>
      </c>
      <c r="J649" s="198">
        <v>4.9889055689778014E-2</v>
      </c>
    </row>
    <row r="650" spans="1:10">
      <c r="A650" s="196">
        <v>1</v>
      </c>
      <c r="B650">
        <v>2</v>
      </c>
      <c r="C650" s="196">
        <v>16</v>
      </c>
      <c r="D650" s="196">
        <v>55</v>
      </c>
      <c r="E650" s="197">
        <v>96.75396368292995</v>
      </c>
      <c r="F650" s="197">
        <v>5.541442906027097E-2</v>
      </c>
      <c r="G650" s="198">
        <v>0.93524101706757756</v>
      </c>
      <c r="H650" s="197">
        <v>96.286109731036774</v>
      </c>
      <c r="I650" s="197">
        <v>-0.48355016588919669</v>
      </c>
      <c r="J650" s="198">
        <v>0.33054408626154741</v>
      </c>
    </row>
    <row r="651" spans="1:10">
      <c r="A651" s="196">
        <v>1</v>
      </c>
      <c r="B651">
        <v>2</v>
      </c>
      <c r="C651" s="196">
        <v>16</v>
      </c>
      <c r="D651" s="196">
        <v>56</v>
      </c>
      <c r="E651" s="197">
        <v>22.953184742983815</v>
      </c>
      <c r="F651" s="197">
        <v>0.82141226056662819</v>
      </c>
      <c r="G651" s="198">
        <v>0.44356409011189124</v>
      </c>
      <c r="H651" s="197">
        <v>24.287851680307639</v>
      </c>
      <c r="I651" s="197">
        <v>0.82141226056662819</v>
      </c>
      <c r="J651" s="198">
        <v>0.44356409011189124</v>
      </c>
    </row>
    <row r="652" spans="1:10">
      <c r="A652" s="196">
        <v>1</v>
      </c>
      <c r="B652">
        <v>2</v>
      </c>
      <c r="C652" s="196">
        <v>17</v>
      </c>
      <c r="D652" s="196">
        <v>51</v>
      </c>
      <c r="E652" s="197">
        <v>7.6749018327202583</v>
      </c>
      <c r="F652" s="197">
        <v>0.69913049673739469</v>
      </c>
      <c r="G652" s="198">
        <v>1.4826665657374524E-2</v>
      </c>
      <c r="H652" s="197">
        <v>8.5151822882758132</v>
      </c>
      <c r="I652" s="197">
        <v>0.84028045555555586</v>
      </c>
      <c r="J652" s="198">
        <v>4.3407718369948998E-3</v>
      </c>
    </row>
    <row r="653" spans="1:10">
      <c r="A653" s="196">
        <v>1</v>
      </c>
      <c r="B653">
        <v>2</v>
      </c>
      <c r="C653" s="196">
        <v>17</v>
      </c>
      <c r="D653" s="196">
        <v>52</v>
      </c>
      <c r="E653" s="197">
        <v>128.76166666666668</v>
      </c>
      <c r="F653" s="197">
        <v>-8.1015943641083457E-2</v>
      </c>
      <c r="G653" s="198">
        <v>0.99124566722954099</v>
      </c>
      <c r="H653" s="197">
        <v>136.19512074868038</v>
      </c>
      <c r="I653" s="197">
        <v>5.7730334457825334</v>
      </c>
      <c r="J653" s="198">
        <v>0.43806238274323628</v>
      </c>
    </row>
    <row r="654" spans="1:10">
      <c r="A654" s="196">
        <v>1</v>
      </c>
      <c r="B654">
        <v>2</v>
      </c>
      <c r="C654" s="196">
        <v>17</v>
      </c>
      <c r="D654" s="196">
        <v>54</v>
      </c>
      <c r="E654" s="197">
        <v>97.787350354275262</v>
      </c>
      <c r="F654" s="197">
        <v>-0.30626749303687023</v>
      </c>
      <c r="G654" s="198">
        <v>0.49440618969984307</v>
      </c>
      <c r="H654" s="197">
        <v>96.251254214566885</v>
      </c>
      <c r="I654" s="197">
        <v>-1.536096139708377</v>
      </c>
      <c r="J654" s="198">
        <v>9.4514786306422183E-2</v>
      </c>
    </row>
    <row r="655" spans="1:10">
      <c r="A655" s="196">
        <v>1</v>
      </c>
      <c r="B655">
        <v>2</v>
      </c>
      <c r="C655" s="196">
        <v>17</v>
      </c>
      <c r="D655" s="196">
        <v>55</v>
      </c>
      <c r="E655" s="197">
        <v>98.099396629956303</v>
      </c>
      <c r="F655" s="197">
        <v>-0.30626749303687023</v>
      </c>
      <c r="G655" s="198">
        <v>0.49440618969984307</v>
      </c>
      <c r="H655" s="197">
        <v>97.124771604543213</v>
      </c>
      <c r="I655" s="197">
        <v>-0.99350766558688131</v>
      </c>
      <c r="J655" s="198">
        <v>4.9237137482047749E-2</v>
      </c>
    </row>
    <row r="656" spans="1:10">
      <c r="A656" s="196">
        <v>1</v>
      </c>
      <c r="B656">
        <v>2</v>
      </c>
      <c r="C656" s="196">
        <v>17</v>
      </c>
      <c r="D656" s="196">
        <v>56</v>
      </c>
      <c r="E656" s="197">
        <v>34.534076474844063</v>
      </c>
      <c r="F656" s="197">
        <v>0.28145176810949646</v>
      </c>
      <c r="G656" s="198">
        <v>0.45887147855610932</v>
      </c>
      <c r="H656" s="197">
        <v>33.646089819918835</v>
      </c>
      <c r="I656" s="197">
        <v>-0.88798665492522844</v>
      </c>
      <c r="J656" s="198">
        <v>1.7591587674579332E-2</v>
      </c>
    </row>
    <row r="657" spans="1:10">
      <c r="A657" s="196">
        <v>1</v>
      </c>
      <c r="B657">
        <v>2</v>
      </c>
      <c r="C657" s="196">
        <v>18</v>
      </c>
      <c r="D657" s="196">
        <v>51</v>
      </c>
      <c r="E657" s="197">
        <v>17.958129632066797</v>
      </c>
      <c r="F657" s="197">
        <v>0.44660611090296776</v>
      </c>
      <c r="G657" s="198">
        <v>0.268299920300133</v>
      </c>
      <c r="H657" s="197">
        <v>19.028782732066794</v>
      </c>
      <c r="I657" s="197">
        <v>1.0706530999999977</v>
      </c>
      <c r="J657" s="198">
        <v>8.3698039386209374E-4</v>
      </c>
    </row>
    <row r="658" spans="1:10">
      <c r="A658" s="196">
        <v>1</v>
      </c>
      <c r="B658">
        <v>2</v>
      </c>
      <c r="C658" s="196">
        <v>18</v>
      </c>
      <c r="D658" s="196">
        <v>52</v>
      </c>
      <c r="E658" s="197">
        <v>68.751666666666637</v>
      </c>
      <c r="F658" s="197">
        <v>-13.373044123099771</v>
      </c>
      <c r="G658" s="198">
        <v>3.832187035947561E-2</v>
      </c>
      <c r="H658" s="197">
        <v>67.358981355166392</v>
      </c>
      <c r="I658" s="197">
        <v>-2.0256749821826112</v>
      </c>
      <c r="J658" s="198">
        <v>0.78061997655867588</v>
      </c>
    </row>
    <row r="659" spans="1:10">
      <c r="A659" s="196">
        <v>1</v>
      </c>
      <c r="B659">
        <v>2</v>
      </c>
      <c r="C659" s="196">
        <v>18</v>
      </c>
      <c r="D659" s="196">
        <v>54</v>
      </c>
      <c r="E659" s="197">
        <v>92.648621316214474</v>
      </c>
      <c r="F659" s="197">
        <v>5.3023814142421735</v>
      </c>
      <c r="G659" s="198">
        <v>5.2092408347826448E-2</v>
      </c>
      <c r="H659" s="197">
        <v>92.111650318771467</v>
      </c>
      <c r="I659" s="197">
        <v>-0.53697099744300658</v>
      </c>
      <c r="J659" s="198">
        <v>0.43215394319166978</v>
      </c>
    </row>
    <row r="660" spans="1:10">
      <c r="A660" s="196">
        <v>1</v>
      </c>
      <c r="B660">
        <v>2</v>
      </c>
      <c r="C660" s="196">
        <v>18</v>
      </c>
      <c r="D660" s="196">
        <v>55</v>
      </c>
      <c r="E660" s="197">
        <v>83.977668437115881</v>
      </c>
      <c r="F660" s="197">
        <v>5.3023814142421735</v>
      </c>
      <c r="G660" s="198">
        <v>5.2092408347826448E-2</v>
      </c>
      <c r="H660" s="197">
        <v>85.275858996425654</v>
      </c>
      <c r="I660" s="197">
        <v>1.5458759256716896</v>
      </c>
      <c r="J660" s="198">
        <v>0.76616002243896864</v>
      </c>
    </row>
    <row r="661" spans="1:10">
      <c r="A661" s="196">
        <v>1</v>
      </c>
      <c r="B661">
        <v>2</v>
      </c>
      <c r="C661" s="196">
        <v>18</v>
      </c>
      <c r="D661" s="196">
        <v>56</v>
      </c>
      <c r="E661" s="197">
        <v>6.9687959755461062</v>
      </c>
      <c r="F661" s="197">
        <v>0.30273309633464462</v>
      </c>
      <c r="G661" s="198">
        <v>0.22909459251754993</v>
      </c>
      <c r="H661" s="197">
        <v>7.0226533189537257</v>
      </c>
      <c r="I661" s="197">
        <v>5.3857343407619496E-2</v>
      </c>
      <c r="J661" s="198">
        <v>0.86666199590748261</v>
      </c>
    </row>
    <row r="662" spans="1:10">
      <c r="A662" s="196">
        <v>1</v>
      </c>
      <c r="B662">
        <v>2</v>
      </c>
      <c r="C662" s="196">
        <v>19</v>
      </c>
      <c r="D662" s="196">
        <v>51</v>
      </c>
      <c r="E662" s="197">
        <v>19.771114696810326</v>
      </c>
      <c r="F662" s="197">
        <v>1.0616032168600251</v>
      </c>
      <c r="G662" s="198">
        <v>3.1059585160299707E-3</v>
      </c>
      <c r="H662" s="197">
        <v>20.387726596810332</v>
      </c>
      <c r="I662" s="197">
        <v>0.61661190000000587</v>
      </c>
      <c r="J662" s="198">
        <v>7.254862662633374E-2</v>
      </c>
    </row>
    <row r="663" spans="1:10">
      <c r="A663" s="196">
        <v>1</v>
      </c>
      <c r="B663">
        <v>2</v>
      </c>
      <c r="C663" s="196">
        <v>19</v>
      </c>
      <c r="D663" s="196">
        <v>52</v>
      </c>
      <c r="E663" s="197">
        <v>79.677222222222184</v>
      </c>
      <c r="F663" s="197">
        <v>2.3823136818687147</v>
      </c>
      <c r="G663" s="198">
        <v>0.77550991123506674</v>
      </c>
      <c r="H663" s="197">
        <v>77.834738956777315</v>
      </c>
      <c r="I663" s="197">
        <v>-2.3124341111015676</v>
      </c>
      <c r="J663" s="198">
        <v>0.80678056974574541</v>
      </c>
    </row>
    <row r="664" spans="1:10">
      <c r="A664" s="196">
        <v>1</v>
      </c>
      <c r="B664">
        <v>2</v>
      </c>
      <c r="C664" s="196">
        <v>19</v>
      </c>
      <c r="D664" s="196">
        <v>54</v>
      </c>
      <c r="E664" s="197">
        <v>92.067108545447724</v>
      </c>
      <c r="F664" s="197">
        <v>-1.1884742660310124</v>
      </c>
      <c r="G664" s="198">
        <v>0.74924825085105506</v>
      </c>
      <c r="H664" s="197">
        <v>95.890782703246884</v>
      </c>
      <c r="I664" s="197">
        <v>3.8236741577991609</v>
      </c>
      <c r="J664" s="198">
        <v>7.1247576996334008E-2</v>
      </c>
    </row>
    <row r="665" spans="1:10">
      <c r="A665" s="196">
        <v>1</v>
      </c>
      <c r="B665">
        <v>2</v>
      </c>
      <c r="C665" s="196">
        <v>19</v>
      </c>
      <c r="D665" s="196">
        <v>55</v>
      </c>
      <c r="E665" s="197">
        <v>74.264852193046281</v>
      </c>
      <c r="F665" s="197">
        <v>-1.1884742660310124</v>
      </c>
      <c r="G665" s="198">
        <v>0.74924825085105506</v>
      </c>
      <c r="H665" s="197">
        <v>75.680064165958001</v>
      </c>
      <c r="I665" s="197">
        <v>1.9056282092004582</v>
      </c>
      <c r="J665" s="198">
        <v>0.75474126963703503</v>
      </c>
    </row>
    <row r="666" spans="1:10">
      <c r="A666" s="196">
        <v>1</v>
      </c>
      <c r="B666">
        <v>2</v>
      </c>
      <c r="C666" s="196">
        <v>19</v>
      </c>
      <c r="D666" s="196">
        <v>56</v>
      </c>
      <c r="E666" s="197">
        <v>4.7996420300702685</v>
      </c>
      <c r="F666" s="197">
        <v>0.30273309633464462</v>
      </c>
      <c r="G666" s="198">
        <v>0.22909459251754993</v>
      </c>
      <c r="H666" s="197">
        <v>5.0581296801225335</v>
      </c>
      <c r="I666" s="197">
        <v>0.25848765005226504</v>
      </c>
      <c r="J666" s="198">
        <v>0.40435015526802043</v>
      </c>
    </row>
    <row r="667" spans="1:10">
      <c r="A667" s="196">
        <v>1</v>
      </c>
      <c r="B667">
        <v>11</v>
      </c>
      <c r="C667" s="196">
        <v>13</v>
      </c>
      <c r="D667" s="196">
        <v>51</v>
      </c>
      <c r="E667" s="197">
        <v>18.428333332384788</v>
      </c>
      <c r="F667" s="197">
        <v>0.88875452823790801</v>
      </c>
      <c r="G667" s="198">
        <v>3.5915707375656725E-5</v>
      </c>
      <c r="H667" s="197">
        <v>19.320461849051451</v>
      </c>
      <c r="I667" s="197">
        <v>0.89212851666666282</v>
      </c>
      <c r="J667" s="198">
        <v>1.6640479508543879E-3</v>
      </c>
    </row>
    <row r="668" spans="1:10">
      <c r="A668" s="196">
        <v>1</v>
      </c>
      <c r="B668">
        <v>11</v>
      </c>
      <c r="C668" s="196">
        <v>13</v>
      </c>
      <c r="D668" s="196">
        <v>52</v>
      </c>
      <c r="E668" s="197">
        <v>164.58250000000001</v>
      </c>
      <c r="F668" s="197">
        <v>5.725862068965518</v>
      </c>
      <c r="G668" s="198">
        <v>0.53781290753530619</v>
      </c>
      <c r="H668" s="197">
        <v>163.06814631587031</v>
      </c>
      <c r="I668" s="197">
        <v>-0.92011828969040621</v>
      </c>
      <c r="J668" s="198">
        <v>0.91352381319976361</v>
      </c>
    </row>
    <row r="669" spans="1:10">
      <c r="A669" s="196">
        <v>1</v>
      </c>
      <c r="B669">
        <v>11</v>
      </c>
      <c r="C669" s="196">
        <v>13</v>
      </c>
      <c r="D669" s="196">
        <v>54</v>
      </c>
      <c r="E669" s="197">
        <v>97.465383276870725</v>
      </c>
      <c r="F669" s="197">
        <v>-0.87742188711477853</v>
      </c>
      <c r="G669" s="198">
        <v>6.7095549505277102E-2</v>
      </c>
      <c r="H669" s="197">
        <v>100.26483939482688</v>
      </c>
      <c r="I669" s="197">
        <v>2.7994561179561543</v>
      </c>
      <c r="J669" s="198">
        <v>1.6257339631517511E-2</v>
      </c>
    </row>
    <row r="670" spans="1:10">
      <c r="A670" s="196">
        <v>1</v>
      </c>
      <c r="B670">
        <v>11</v>
      </c>
      <c r="C670" s="196">
        <v>13</v>
      </c>
      <c r="D670" s="196">
        <v>55</v>
      </c>
      <c r="E670" s="197">
        <v>97.553017455391284</v>
      </c>
      <c r="F670" s="197">
        <v>-0.87742188711477853</v>
      </c>
      <c r="G670" s="198">
        <v>6.7095549505277102E-2</v>
      </c>
      <c r="H670" s="197">
        <v>97.842208793418564</v>
      </c>
      <c r="I670" s="197">
        <v>0.29644530284213527</v>
      </c>
      <c r="J670" s="198">
        <v>0.88926328563002477</v>
      </c>
    </row>
    <row r="671" spans="1:10">
      <c r="A671" s="196">
        <v>1</v>
      </c>
      <c r="B671">
        <v>11</v>
      </c>
      <c r="C671" s="196">
        <v>13</v>
      </c>
      <c r="D671" s="196">
        <v>56</v>
      </c>
      <c r="E671" s="197">
        <v>6.6550655427506875</v>
      </c>
      <c r="F671" s="197">
        <v>-0.18696406922444564</v>
      </c>
      <c r="G671" s="198">
        <v>3.9866808742331812E-4</v>
      </c>
      <c r="H671" s="197">
        <v>6.8458256817315331</v>
      </c>
      <c r="I671" s="197">
        <v>0.19076013898084554</v>
      </c>
      <c r="J671" s="198">
        <v>0.23457896612093077</v>
      </c>
    </row>
    <row r="672" spans="1:10">
      <c r="A672" s="196">
        <v>1</v>
      </c>
      <c r="B672">
        <v>11</v>
      </c>
      <c r="C672" s="196">
        <v>14</v>
      </c>
      <c r="D672" s="196">
        <v>51</v>
      </c>
      <c r="E672" s="197">
        <v>10.740158152134562</v>
      </c>
      <c r="F672" s="197">
        <v>-2.9300928880352208E-2</v>
      </c>
      <c r="G672" s="198">
        <v>0.89093737567392095</v>
      </c>
      <c r="H672" s="197">
        <v>12.190085685467894</v>
      </c>
      <c r="I672" s="197">
        <v>1.4499275333333319</v>
      </c>
      <c r="J672" s="198">
        <v>1.2285945936005569E-5</v>
      </c>
    </row>
    <row r="673" spans="1:10">
      <c r="A673" s="196">
        <v>1</v>
      </c>
      <c r="B673">
        <v>11</v>
      </c>
      <c r="C673" s="196">
        <v>14</v>
      </c>
      <c r="D673" s="196">
        <v>52</v>
      </c>
      <c r="E673" s="197">
        <v>99.944999999999993</v>
      </c>
      <c r="F673" s="197">
        <v>14.479755283648501</v>
      </c>
      <c r="G673" s="198">
        <v>9.8818174021085989E-2</v>
      </c>
      <c r="H673" s="197">
        <v>98.400999887413704</v>
      </c>
      <c r="I673" s="197">
        <v>-1.5448497799652749</v>
      </c>
      <c r="J673" s="198">
        <v>0.86140125427622927</v>
      </c>
    </row>
    <row r="674" spans="1:10">
      <c r="A674" s="196">
        <v>1</v>
      </c>
      <c r="B674">
        <v>11</v>
      </c>
      <c r="C674" s="196">
        <v>14</v>
      </c>
      <c r="D674" s="196">
        <v>54</v>
      </c>
      <c r="E674" s="197">
        <v>94.231824330344594</v>
      </c>
      <c r="F674" s="197">
        <v>2.7554885107023224</v>
      </c>
      <c r="G674" s="198">
        <v>0.1780134192381746</v>
      </c>
      <c r="H674" s="197">
        <v>99.697153464878298</v>
      </c>
      <c r="I674" s="197">
        <v>5.4653291345337038</v>
      </c>
      <c r="J674" s="198">
        <v>4.8729831705900935E-5</v>
      </c>
    </row>
    <row r="675" spans="1:10">
      <c r="A675" s="196">
        <v>1</v>
      </c>
      <c r="B675">
        <v>11</v>
      </c>
      <c r="C675" s="196">
        <v>14</v>
      </c>
      <c r="D675" s="196">
        <v>55</v>
      </c>
      <c r="E675" s="197">
        <v>89.785650281029646</v>
      </c>
      <c r="F675" s="197">
        <v>2.7554885107023224</v>
      </c>
      <c r="G675" s="198">
        <v>0.1780134192381746</v>
      </c>
      <c r="H675" s="197">
        <v>90.156843500856553</v>
      </c>
      <c r="I675" s="197">
        <v>0.41342154193355679</v>
      </c>
      <c r="J675" s="198">
        <v>0.81407888976349274</v>
      </c>
    </row>
    <row r="676" spans="1:10">
      <c r="A676" s="196">
        <v>1</v>
      </c>
      <c r="B676">
        <v>11</v>
      </c>
      <c r="C676" s="196">
        <v>14</v>
      </c>
      <c r="D676" s="196">
        <v>56</v>
      </c>
      <c r="E676" s="197">
        <v>5.9166292402484641</v>
      </c>
      <c r="F676" s="197">
        <v>0.16573932584862333</v>
      </c>
      <c r="G676" s="198">
        <v>0.22450932668410895</v>
      </c>
      <c r="H676" s="197">
        <v>6.2972993863948368</v>
      </c>
      <c r="I676" s="197">
        <v>0.38067014614637262</v>
      </c>
      <c r="J676" s="198">
        <v>8.6337273516397008E-3</v>
      </c>
    </row>
    <row r="677" spans="1:10">
      <c r="A677" s="196">
        <v>1</v>
      </c>
      <c r="B677">
        <v>11</v>
      </c>
      <c r="C677" s="196">
        <v>15</v>
      </c>
      <c r="D677" s="196">
        <v>51</v>
      </c>
      <c r="E677" s="197">
        <v>2.3209444429539143</v>
      </c>
      <c r="F677" s="197">
        <v>1.1216499790661163</v>
      </c>
      <c r="G677" s="198">
        <v>3.7151070604320283E-2</v>
      </c>
      <c r="H677" s="197">
        <v>3.3257150429539162</v>
      </c>
      <c r="I677" s="197">
        <v>1.0047706000000018</v>
      </c>
      <c r="J677" s="198">
        <v>3.588742463005682E-2</v>
      </c>
    </row>
    <row r="678" spans="1:10">
      <c r="A678" s="196">
        <v>1</v>
      </c>
      <c r="B678">
        <v>11</v>
      </c>
      <c r="C678" s="196">
        <v>15</v>
      </c>
      <c r="D678" s="196">
        <v>52</v>
      </c>
      <c r="E678" s="197">
        <v>37.22</v>
      </c>
      <c r="F678" s="197">
        <v>0.57486095661846526</v>
      </c>
      <c r="G678" s="198">
        <v>0.87052868936954952</v>
      </c>
      <c r="H678" s="197">
        <v>37.725724651537966</v>
      </c>
      <c r="I678" s="197">
        <v>1.3587443620042201</v>
      </c>
      <c r="J678" s="198">
        <v>0.88470745498358361</v>
      </c>
    </row>
    <row r="679" spans="1:10">
      <c r="A679" s="196">
        <v>1</v>
      </c>
      <c r="B679">
        <v>11</v>
      </c>
      <c r="C679" s="196">
        <v>15</v>
      </c>
      <c r="D679" s="196">
        <v>54</v>
      </c>
      <c r="E679" s="197">
        <v>88.335176694867997</v>
      </c>
      <c r="F679" s="197">
        <v>3.3075314396209587</v>
      </c>
      <c r="G679" s="198">
        <v>0.26075651799212418</v>
      </c>
      <c r="H679" s="197">
        <v>89.452552849035186</v>
      </c>
      <c r="I679" s="197">
        <v>1.1173761541671894</v>
      </c>
      <c r="J679" s="198">
        <v>0.48035021350110796</v>
      </c>
    </row>
    <row r="680" spans="1:10">
      <c r="A680" s="196">
        <v>1</v>
      </c>
      <c r="B680">
        <v>11</v>
      </c>
      <c r="C680" s="196">
        <v>15</v>
      </c>
      <c r="D680" s="196">
        <v>55</v>
      </c>
      <c r="E680" s="197">
        <v>70.393386410298618</v>
      </c>
      <c r="F680" s="197">
        <v>3.3075314396209587</v>
      </c>
      <c r="G680" s="198">
        <v>0.26075651799212418</v>
      </c>
      <c r="H680" s="197">
        <v>69.839008357656098</v>
      </c>
      <c r="I680" s="197">
        <v>-0.78754280893838324</v>
      </c>
      <c r="J680" s="198">
        <v>0.75524791150265858</v>
      </c>
    </row>
    <row r="681" spans="1:10">
      <c r="A681" s="196">
        <v>1</v>
      </c>
      <c r="B681">
        <v>11</v>
      </c>
      <c r="C681" s="196">
        <v>15</v>
      </c>
      <c r="D681" s="196">
        <v>56</v>
      </c>
      <c r="E681" s="197">
        <v>3.0883556408209016</v>
      </c>
      <c r="F681" s="197">
        <v>0.15646408304357801</v>
      </c>
      <c r="G681" s="198">
        <v>0.26987456855554082</v>
      </c>
      <c r="H681" s="197">
        <v>3.1254092381603749</v>
      </c>
      <c r="I681" s="197">
        <v>3.7053597339473221E-2</v>
      </c>
      <c r="J681" s="198">
        <v>0.77441549730547621</v>
      </c>
    </row>
    <row r="682" spans="1:10">
      <c r="A682" s="196">
        <v>1</v>
      </c>
      <c r="B682">
        <v>11</v>
      </c>
      <c r="C682" s="196">
        <v>16</v>
      </c>
      <c r="D682" s="196">
        <v>51</v>
      </c>
      <c r="E682" s="197">
        <v>-2.6137662549199208</v>
      </c>
      <c r="F682" s="197">
        <v>0.34153676850468517</v>
      </c>
      <c r="G682" s="198">
        <v>0.49718511857276226</v>
      </c>
      <c r="H682" s="197">
        <v>-1.4137662549199208</v>
      </c>
      <c r="I682" s="197">
        <v>1.2</v>
      </c>
      <c r="J682" s="198">
        <v>0.01</v>
      </c>
    </row>
    <row r="683" spans="1:10">
      <c r="A683" s="196">
        <v>1</v>
      </c>
      <c r="B683">
        <v>11</v>
      </c>
      <c r="C683" s="196">
        <v>16</v>
      </c>
      <c r="D683" s="196">
        <v>52</v>
      </c>
      <c r="E683" s="197">
        <v>103.82833333333333</v>
      </c>
      <c r="F683" s="197">
        <v>-2.156507230255841</v>
      </c>
      <c r="G683" s="198">
        <v>0.63367422744910806</v>
      </c>
      <c r="H683" s="197">
        <v>114.11894391913376</v>
      </c>
      <c r="I683" s="197">
        <v>9.9111776674322201</v>
      </c>
      <c r="J683" s="198">
        <v>0.10618425469730497</v>
      </c>
    </row>
    <row r="684" spans="1:10">
      <c r="A684" s="196">
        <v>1</v>
      </c>
      <c r="B684">
        <v>11</v>
      </c>
      <c r="C684" s="196">
        <v>16</v>
      </c>
      <c r="D684" s="196">
        <v>54</v>
      </c>
      <c r="E684" s="197">
        <v>91.417707651669247</v>
      </c>
      <c r="F684" s="197">
        <v>-0.1260527277370333</v>
      </c>
      <c r="G684" s="198">
        <v>0.81982187125370054</v>
      </c>
      <c r="H684" s="197">
        <v>90.352623458568274</v>
      </c>
      <c r="I684" s="197">
        <v>-1.0650841931009722</v>
      </c>
      <c r="J684" s="198">
        <v>0.49830763415373436</v>
      </c>
    </row>
    <row r="685" spans="1:10">
      <c r="A685" s="196">
        <v>1</v>
      </c>
      <c r="B685">
        <v>11</v>
      </c>
      <c r="C685" s="196">
        <v>16</v>
      </c>
      <c r="D685" s="196">
        <v>55</v>
      </c>
      <c r="E685" s="197">
        <v>96.289262354725821</v>
      </c>
      <c r="F685" s="197">
        <v>-0.1260527277370333</v>
      </c>
      <c r="G685" s="198">
        <v>0.81982187125370054</v>
      </c>
      <c r="H685" s="197">
        <v>95.948456164988173</v>
      </c>
      <c r="I685" s="197">
        <v>-0.35393997357891438</v>
      </c>
      <c r="J685" s="198">
        <v>0.52953568190094358</v>
      </c>
    </row>
    <row r="686" spans="1:10">
      <c r="A686" s="196">
        <v>1</v>
      </c>
      <c r="B686">
        <v>11</v>
      </c>
      <c r="C686" s="196">
        <v>16</v>
      </c>
      <c r="D686" s="196">
        <v>56</v>
      </c>
      <c r="E686" s="197">
        <v>25.517575046232576</v>
      </c>
      <c r="F686" s="197">
        <v>0.55417577797447104</v>
      </c>
      <c r="G686" s="198">
        <v>0.42619459056440545</v>
      </c>
      <c r="H686" s="197">
        <v>25.114452972162308</v>
      </c>
      <c r="I686" s="197">
        <v>0.55417577797447104</v>
      </c>
      <c r="J686" s="198">
        <v>0.42619459056440545</v>
      </c>
    </row>
    <row r="687" spans="1:10">
      <c r="A687" s="196">
        <v>1</v>
      </c>
      <c r="B687">
        <v>11</v>
      </c>
      <c r="C687" s="196">
        <v>17</v>
      </c>
      <c r="D687" s="196">
        <v>51</v>
      </c>
      <c r="E687" s="197">
        <v>8.087475511906991</v>
      </c>
      <c r="F687" s="197">
        <v>0.46980704003676849</v>
      </c>
      <c r="G687" s="198">
        <v>6.675680461316412E-2</v>
      </c>
      <c r="H687" s="197">
        <v>8.7642730007958818</v>
      </c>
      <c r="I687" s="197">
        <v>0.6767974888888908</v>
      </c>
      <c r="J687" s="198">
        <v>5.2791403824986134E-3</v>
      </c>
    </row>
    <row r="688" spans="1:10">
      <c r="A688" s="196">
        <v>1</v>
      </c>
      <c r="B688">
        <v>11</v>
      </c>
      <c r="C688" s="196">
        <v>17</v>
      </c>
      <c r="D688" s="196">
        <v>52</v>
      </c>
      <c r="E688" s="197">
        <v>150.17333333333332</v>
      </c>
      <c r="F688" s="197">
        <v>5.6491657397107895</v>
      </c>
      <c r="G688" s="198">
        <v>0.53373035044102468</v>
      </c>
      <c r="H688" s="197">
        <v>148.77540815584564</v>
      </c>
      <c r="I688" s="197">
        <v>-0.93087444119306861</v>
      </c>
      <c r="J688" s="198">
        <v>0.88157821100942502</v>
      </c>
    </row>
    <row r="689" spans="1:10">
      <c r="A689" s="196">
        <v>1</v>
      </c>
      <c r="B689">
        <v>11</v>
      </c>
      <c r="C689" s="196">
        <v>17</v>
      </c>
      <c r="D689" s="196">
        <v>54</v>
      </c>
      <c r="E689" s="197">
        <v>97.880882883563899</v>
      </c>
      <c r="F689" s="197">
        <v>-0.27822152498746494</v>
      </c>
      <c r="G689" s="198">
        <v>0.39179472029378348</v>
      </c>
      <c r="H689" s="197">
        <v>94.851117571013305</v>
      </c>
      <c r="I689" s="197">
        <v>-3.0297653125505946</v>
      </c>
      <c r="J689" s="198">
        <v>1.0872294750253314E-2</v>
      </c>
    </row>
    <row r="690" spans="1:10">
      <c r="A690" s="196">
        <v>1</v>
      </c>
      <c r="B690">
        <v>11</v>
      </c>
      <c r="C690" s="196">
        <v>17</v>
      </c>
      <c r="D690" s="196">
        <v>55</v>
      </c>
      <c r="E690" s="197">
        <v>98.739858828047161</v>
      </c>
      <c r="F690" s="197">
        <v>-0.27822152498746494</v>
      </c>
      <c r="G690" s="198">
        <v>0.39179472029378348</v>
      </c>
      <c r="H690" s="197">
        <v>98.233063672527607</v>
      </c>
      <c r="I690" s="197">
        <v>-0.51326299382514262</v>
      </c>
      <c r="J690" s="198">
        <v>0.57422768623219667</v>
      </c>
    </row>
    <row r="691" spans="1:10">
      <c r="A691" s="196">
        <v>1</v>
      </c>
      <c r="B691">
        <v>11</v>
      </c>
      <c r="C691" s="196">
        <v>17</v>
      </c>
      <c r="D691" s="196">
        <v>56</v>
      </c>
      <c r="E691" s="197">
        <v>34.790651512340418</v>
      </c>
      <c r="F691" s="197">
        <v>-3.0444657625166415E-2</v>
      </c>
      <c r="G691" s="198">
        <v>0.90185407740741574</v>
      </c>
      <c r="H691" s="197">
        <v>33.536665008587164</v>
      </c>
      <c r="I691" s="197">
        <v>-1.2539865037532536</v>
      </c>
      <c r="J691" s="198">
        <v>9.5157136029937282E-3</v>
      </c>
    </row>
    <row r="692" spans="1:10">
      <c r="A692" s="196">
        <v>1</v>
      </c>
      <c r="B692">
        <v>11</v>
      </c>
      <c r="C692" s="196">
        <v>18</v>
      </c>
      <c r="D692" s="196">
        <v>51</v>
      </c>
      <c r="E692" s="197">
        <v>16.880194443066916</v>
      </c>
      <c r="F692" s="197">
        <v>0.56954208047998844</v>
      </c>
      <c r="G692" s="198">
        <v>1.7713980504530526E-2</v>
      </c>
      <c r="H692" s="197">
        <v>17.903247576400254</v>
      </c>
      <c r="I692" s="197">
        <v>1.0230531333333364</v>
      </c>
      <c r="J692" s="198">
        <v>1.2167216347859983E-3</v>
      </c>
    </row>
    <row r="693" spans="1:10">
      <c r="A693" s="196">
        <v>1</v>
      </c>
      <c r="B693">
        <v>11</v>
      </c>
      <c r="C693" s="196">
        <v>18</v>
      </c>
      <c r="D693" s="196">
        <v>52</v>
      </c>
      <c r="E693" s="197">
        <v>85.55416666666666</v>
      </c>
      <c r="F693" s="197">
        <v>-5.4279755283648488</v>
      </c>
      <c r="G693" s="198">
        <v>0.4811100856938092</v>
      </c>
      <c r="H693" s="197">
        <v>90.015504509142659</v>
      </c>
      <c r="I693" s="197">
        <v>5.2146353781436696</v>
      </c>
      <c r="J693" s="198">
        <v>0.47634481395518102</v>
      </c>
    </row>
    <row r="694" spans="1:10">
      <c r="A694" s="196">
        <v>1</v>
      </c>
      <c r="B694">
        <v>11</v>
      </c>
      <c r="C694" s="196">
        <v>18</v>
      </c>
      <c r="D694" s="196">
        <v>54</v>
      </c>
      <c r="E694" s="197">
        <v>98.157669832862339</v>
      </c>
      <c r="F694" s="197">
        <v>2.0670446158104365</v>
      </c>
      <c r="G694" s="198">
        <v>0.56970859693478015</v>
      </c>
      <c r="H694" s="197">
        <v>98.886760330975306</v>
      </c>
      <c r="I694" s="197">
        <v>0.72909049811296711</v>
      </c>
      <c r="J694" s="198">
        <v>0.22050820652209147</v>
      </c>
    </row>
    <row r="695" spans="1:10">
      <c r="A695" s="196">
        <v>1</v>
      </c>
      <c r="B695">
        <v>11</v>
      </c>
      <c r="C695" s="196">
        <v>18</v>
      </c>
      <c r="D695" s="196">
        <v>55</v>
      </c>
      <c r="E695" s="197">
        <v>76.79715674476752</v>
      </c>
      <c r="F695" s="197">
        <v>2.0670446158104365</v>
      </c>
      <c r="G695" s="198">
        <v>0.56970859693478015</v>
      </c>
      <c r="H695" s="197">
        <v>73.561823027003314</v>
      </c>
      <c r="I695" s="197">
        <v>-4.2128300771820442</v>
      </c>
      <c r="J695" s="198">
        <v>0.43143626060055285</v>
      </c>
    </row>
    <row r="696" spans="1:10">
      <c r="A696" s="196">
        <v>1</v>
      </c>
      <c r="B696">
        <v>11</v>
      </c>
      <c r="C696" s="196">
        <v>18</v>
      </c>
      <c r="D696" s="196">
        <v>56</v>
      </c>
      <c r="E696" s="197">
        <v>6.7906122239516709</v>
      </c>
      <c r="F696" s="197">
        <v>0.17689261031955122</v>
      </c>
      <c r="G696" s="198">
        <v>0.59119734331632079</v>
      </c>
      <c r="H696" s="197">
        <v>6.5829263493983872</v>
      </c>
      <c r="I696" s="197">
        <v>-0.20768587455328369</v>
      </c>
      <c r="J696" s="198">
        <v>0.53131676187686927</v>
      </c>
    </row>
    <row r="697" spans="1:10">
      <c r="A697" s="196">
        <v>1</v>
      </c>
      <c r="B697">
        <v>11</v>
      </c>
      <c r="C697" s="196">
        <v>19</v>
      </c>
      <c r="D697" s="196">
        <v>51</v>
      </c>
      <c r="E697" s="197">
        <v>18.758360213310489</v>
      </c>
      <c r="F697" s="197">
        <v>1.033461908277967</v>
      </c>
      <c r="G697" s="198">
        <v>3.4415852145249854E-4</v>
      </c>
      <c r="H697" s="197">
        <v>19.306522746643815</v>
      </c>
      <c r="I697" s="197">
        <v>0.54816253333332554</v>
      </c>
      <c r="J697" s="198">
        <v>9.9039961142504351E-2</v>
      </c>
    </row>
    <row r="698" spans="1:10">
      <c r="A698" s="196">
        <v>1</v>
      </c>
      <c r="B698">
        <v>11</v>
      </c>
      <c r="C698" s="196">
        <v>19</v>
      </c>
      <c r="D698" s="196">
        <v>52</v>
      </c>
      <c r="E698" s="197">
        <v>92.50833333333334</v>
      </c>
      <c r="F698" s="197">
        <v>3.6312569521690783</v>
      </c>
      <c r="G698" s="198">
        <v>0.69851530728679667</v>
      </c>
      <c r="H698" s="197">
        <v>102.34596445369904</v>
      </c>
      <c r="I698" s="197">
        <v>10.634318840139478</v>
      </c>
      <c r="J698" s="198">
        <v>0.33814926360436282</v>
      </c>
    </row>
    <row r="699" spans="1:10">
      <c r="A699" s="196">
        <v>1</v>
      </c>
      <c r="B699">
        <v>11</v>
      </c>
      <c r="C699" s="196">
        <v>19</v>
      </c>
      <c r="D699" s="196">
        <v>54</v>
      </c>
      <c r="E699" s="197">
        <v>88.538842879125539</v>
      </c>
      <c r="F699" s="197">
        <v>-1.9865720583664555</v>
      </c>
      <c r="G699" s="198">
        <v>0.64719932135037139</v>
      </c>
      <c r="H699" s="197">
        <v>92.573637415832749</v>
      </c>
      <c r="I699" s="197">
        <v>4.03479453670721</v>
      </c>
      <c r="J699" s="198">
        <v>8.5773192703688231E-2</v>
      </c>
    </row>
    <row r="700" spans="1:10">
      <c r="A700" s="196">
        <v>1</v>
      </c>
      <c r="B700">
        <v>11</v>
      </c>
      <c r="C700" s="196">
        <v>19</v>
      </c>
      <c r="D700" s="196">
        <v>55</v>
      </c>
      <c r="E700" s="197">
        <v>68.323553869754505</v>
      </c>
      <c r="F700" s="197">
        <v>-1.9865720583664555</v>
      </c>
      <c r="G700" s="198">
        <v>0.64719932135037139</v>
      </c>
      <c r="H700" s="197">
        <v>62.325726562103839</v>
      </c>
      <c r="I700" s="197">
        <v>-8.7785645914794692</v>
      </c>
      <c r="J700" s="198">
        <v>0.31990344717467989</v>
      </c>
    </row>
    <row r="701" spans="1:10">
      <c r="A701" s="196">
        <v>1</v>
      </c>
      <c r="B701">
        <v>11</v>
      </c>
      <c r="C701" s="196">
        <v>19</v>
      </c>
      <c r="D701" s="196">
        <v>56</v>
      </c>
      <c r="E701" s="197">
        <v>4.2720963747036347</v>
      </c>
      <c r="F701" s="197">
        <v>0.16756922338755195</v>
      </c>
      <c r="G701" s="198">
        <v>0.58498002438691432</v>
      </c>
      <c r="H701" s="197">
        <v>4.1085727695995917</v>
      </c>
      <c r="I701" s="197">
        <v>-0.1635236051040434</v>
      </c>
      <c r="J701" s="198">
        <v>0.64880838542302355</v>
      </c>
    </row>
    <row r="702" spans="1:10">
      <c r="A702" s="196">
        <v>1</v>
      </c>
      <c r="B702">
        <v>10</v>
      </c>
      <c r="C702" s="196">
        <v>13</v>
      </c>
      <c r="D702" s="196">
        <v>51</v>
      </c>
      <c r="E702" s="197">
        <v>20.520103940324546</v>
      </c>
      <c r="F702" s="197">
        <v>0.98804214626614595</v>
      </c>
      <c r="G702" s="198">
        <v>5.5909544221877995E-4</v>
      </c>
      <c r="H702" s="197">
        <v>21.509055140324541</v>
      </c>
      <c r="I702" s="197">
        <v>0.98895119999999537</v>
      </c>
      <c r="J702" s="198">
        <v>9.8501209855456281E-3</v>
      </c>
    </row>
    <row r="703" spans="1:10">
      <c r="A703" s="196">
        <v>1</v>
      </c>
      <c r="B703">
        <v>10</v>
      </c>
      <c r="C703" s="196">
        <v>13</v>
      </c>
      <c r="D703" s="196">
        <v>52</v>
      </c>
      <c r="E703" s="197">
        <v>105.45800000000003</v>
      </c>
      <c r="F703" s="197">
        <v>-4.1311234705228097</v>
      </c>
      <c r="G703" s="198">
        <v>0.61668147827070352</v>
      </c>
      <c r="H703" s="197">
        <v>107.45364589388987</v>
      </c>
      <c r="I703" s="197">
        <v>1.892360839281845</v>
      </c>
      <c r="J703" s="198">
        <v>0.86927789351745899</v>
      </c>
    </row>
    <row r="704" spans="1:10">
      <c r="A704" s="196">
        <v>1</v>
      </c>
      <c r="B704">
        <v>10</v>
      </c>
      <c r="C704" s="196">
        <v>13</v>
      </c>
      <c r="D704" s="196">
        <v>54</v>
      </c>
      <c r="E704" s="197">
        <v>85.983914022477663</v>
      </c>
      <c r="F704" s="197">
        <v>-0.51999899815910711</v>
      </c>
      <c r="G704" s="198">
        <v>0.32247539379973411</v>
      </c>
      <c r="H704" s="197">
        <v>81.228900611031506</v>
      </c>
      <c r="I704" s="197">
        <v>-4.7550134114461571</v>
      </c>
      <c r="J704" s="198">
        <v>5.0388015190026218E-2</v>
      </c>
    </row>
    <row r="705" spans="1:10">
      <c r="A705" s="196">
        <v>1</v>
      </c>
      <c r="B705">
        <v>10</v>
      </c>
      <c r="C705" s="196">
        <v>13</v>
      </c>
      <c r="D705" s="196">
        <v>55</v>
      </c>
      <c r="E705" s="197">
        <v>97.67550175349011</v>
      </c>
      <c r="F705" s="197">
        <v>-0.51999899815910711</v>
      </c>
      <c r="G705" s="198">
        <v>0.32247539379973411</v>
      </c>
      <c r="H705" s="197">
        <v>96.914797252978929</v>
      </c>
      <c r="I705" s="197">
        <v>-0.77880787593087242</v>
      </c>
      <c r="J705" s="198">
        <v>0.55296073153541925</v>
      </c>
    </row>
    <row r="706" spans="1:10">
      <c r="A706" s="196">
        <v>1</v>
      </c>
      <c r="B706">
        <v>10</v>
      </c>
      <c r="C706" s="196">
        <v>13</v>
      </c>
      <c r="D706" s="196">
        <v>56</v>
      </c>
      <c r="E706" s="197">
        <v>5.8813354978680374</v>
      </c>
      <c r="F706" s="197">
        <v>-0.65563372016102184</v>
      </c>
      <c r="G706" s="198">
        <v>7.0335834015956172E-4</v>
      </c>
      <c r="H706" s="197">
        <v>5.5400602045936536</v>
      </c>
      <c r="I706" s="197">
        <v>-0.34127529327438388</v>
      </c>
      <c r="J706" s="198">
        <v>9.7103628683695375E-2</v>
      </c>
    </row>
    <row r="707" spans="1:10">
      <c r="A707" s="196">
        <v>1</v>
      </c>
      <c r="B707">
        <v>10</v>
      </c>
      <c r="C707" s="196">
        <v>14</v>
      </c>
      <c r="D707" s="196">
        <v>51</v>
      </c>
      <c r="E707" s="197">
        <v>11.018098924374952</v>
      </c>
      <c r="F707" s="197">
        <v>0.40239946383245212</v>
      </c>
      <c r="G707" s="198">
        <v>0.12410176207684098</v>
      </c>
      <c r="H707" s="197">
        <v>12.726997491041617</v>
      </c>
      <c r="I707" s="197">
        <v>1.7088985666666652</v>
      </c>
      <c r="J707" s="198">
        <v>4.4056216096265102E-6</v>
      </c>
    </row>
    <row r="708" spans="1:10">
      <c r="A708" s="196">
        <v>1</v>
      </c>
      <c r="B708">
        <v>10</v>
      </c>
      <c r="C708" s="196">
        <v>14</v>
      </c>
      <c r="D708" s="196">
        <v>52</v>
      </c>
      <c r="E708" s="197">
        <v>96.591666666666683</v>
      </c>
      <c r="F708" s="197">
        <v>11.465962180200222</v>
      </c>
      <c r="G708" s="198">
        <v>0.10867369592848142</v>
      </c>
      <c r="H708" s="197">
        <v>91.705046611387218</v>
      </c>
      <c r="I708" s="197">
        <v>-5.059049319588782</v>
      </c>
      <c r="J708" s="198">
        <v>0.59329121201671708</v>
      </c>
    </row>
    <row r="709" spans="1:10">
      <c r="A709" s="196">
        <v>1</v>
      </c>
      <c r="B709">
        <v>10</v>
      </c>
      <c r="C709" s="196">
        <v>14</v>
      </c>
      <c r="D709" s="196">
        <v>54</v>
      </c>
      <c r="E709" s="197">
        <v>94.845552534201332</v>
      </c>
      <c r="F709" s="197">
        <v>2.5308339878049129</v>
      </c>
      <c r="G709" s="198">
        <v>0.13487766095338238</v>
      </c>
      <c r="H709" s="197">
        <v>100.16425938694987</v>
      </c>
      <c r="I709" s="197">
        <v>5.3187068527485337</v>
      </c>
      <c r="J709" s="198">
        <v>3.9007266614386372E-5</v>
      </c>
    </row>
    <row r="710" spans="1:10">
      <c r="A710" s="196">
        <v>1</v>
      </c>
      <c r="B710">
        <v>10</v>
      </c>
      <c r="C710" s="196">
        <v>14</v>
      </c>
      <c r="D710" s="196">
        <v>55</v>
      </c>
      <c r="E710" s="197">
        <v>90.155184207539889</v>
      </c>
      <c r="F710" s="197">
        <v>2.5308339878049129</v>
      </c>
      <c r="G710" s="198">
        <v>0.13487766095338238</v>
      </c>
      <c r="H710" s="197">
        <v>88.143707880391403</v>
      </c>
      <c r="I710" s="197">
        <v>-2.2311266344018632</v>
      </c>
      <c r="J710" s="198">
        <v>0.41365233909269483</v>
      </c>
    </row>
    <row r="711" spans="1:10">
      <c r="A711" s="196">
        <v>1</v>
      </c>
      <c r="B711">
        <v>10</v>
      </c>
      <c r="C711" s="196">
        <v>14</v>
      </c>
      <c r="D711" s="196">
        <v>56</v>
      </c>
      <c r="E711" s="197">
        <v>5.9782711103516846</v>
      </c>
      <c r="F711" s="197">
        <v>0.25904018837238879</v>
      </c>
      <c r="G711" s="198">
        <v>1.9751965909663299E-2</v>
      </c>
      <c r="H711" s="197">
        <v>6.1582953843500068</v>
      </c>
      <c r="I711" s="197">
        <v>0.18002427399832222</v>
      </c>
      <c r="J711" s="198">
        <v>0.34532388566369854</v>
      </c>
    </row>
    <row r="712" spans="1:10">
      <c r="A712" s="196">
        <v>1</v>
      </c>
      <c r="B712">
        <v>10</v>
      </c>
      <c r="C712" s="196">
        <v>15</v>
      </c>
      <c r="D712" s="196">
        <v>51</v>
      </c>
      <c r="E712" s="197">
        <v>0.95459999952961994</v>
      </c>
      <c r="F712" s="197">
        <v>1.3892547267874853</v>
      </c>
      <c r="G712" s="198">
        <v>2.092977740951955E-2</v>
      </c>
      <c r="H712" s="197">
        <v>2.4113984995296196</v>
      </c>
      <c r="I712" s="197">
        <v>1.4567984999999997</v>
      </c>
      <c r="J712" s="198">
        <v>8.7177914749893039E-3</v>
      </c>
    </row>
    <row r="713" spans="1:10">
      <c r="A713" s="196">
        <v>1</v>
      </c>
      <c r="B713">
        <v>10</v>
      </c>
      <c r="C713" s="196">
        <v>15</v>
      </c>
      <c r="D713" s="196">
        <v>52</v>
      </c>
      <c r="E713" s="197">
        <v>44.440666666666658</v>
      </c>
      <c r="F713" s="197">
        <v>1.5714794215795367</v>
      </c>
      <c r="G713" s="198">
        <v>0.77476563225596573</v>
      </c>
      <c r="H713" s="197">
        <v>48.02945996317132</v>
      </c>
      <c r="I713" s="197">
        <v>8.0754713321987204</v>
      </c>
      <c r="J713" s="198">
        <v>0.53656025620875614</v>
      </c>
    </row>
    <row r="714" spans="1:10">
      <c r="A714" s="196">
        <v>1</v>
      </c>
      <c r="B714">
        <v>10</v>
      </c>
      <c r="C714" s="196">
        <v>15</v>
      </c>
      <c r="D714" s="196">
        <v>54</v>
      </c>
      <c r="E714" s="197">
        <v>80.978247508695546</v>
      </c>
      <c r="F714" s="197">
        <v>6.0452591812773679</v>
      </c>
      <c r="G714" s="198">
        <v>0.10754612417898968</v>
      </c>
      <c r="H714" s="197">
        <v>87.617133099146869</v>
      </c>
      <c r="I714" s="197">
        <v>6.6388855904513235</v>
      </c>
      <c r="J714" s="198">
        <v>8.8664589098100405E-3</v>
      </c>
    </row>
    <row r="715" spans="1:10">
      <c r="A715" s="196">
        <v>1</v>
      </c>
      <c r="B715">
        <v>10</v>
      </c>
      <c r="C715" s="196">
        <v>15</v>
      </c>
      <c r="D715" s="196">
        <v>55</v>
      </c>
      <c r="E715" s="197">
        <v>72.953252271193477</v>
      </c>
      <c r="F715" s="197">
        <v>6.0452591812773679</v>
      </c>
      <c r="G715" s="198">
        <v>0.10754612417898968</v>
      </c>
      <c r="H715" s="197">
        <v>75.247583318584404</v>
      </c>
      <c r="I715" s="197">
        <v>3.1449331948383592</v>
      </c>
      <c r="J715" s="198">
        <v>0.43273401033822134</v>
      </c>
    </row>
    <row r="716" spans="1:10">
      <c r="A716" s="196">
        <v>1</v>
      </c>
      <c r="B716">
        <v>10</v>
      </c>
      <c r="C716" s="196">
        <v>15</v>
      </c>
      <c r="D716" s="196">
        <v>56</v>
      </c>
      <c r="E716" s="197">
        <v>2.9940607494281939</v>
      </c>
      <c r="F716" s="197">
        <v>0.3314770291845382</v>
      </c>
      <c r="G716" s="198">
        <v>0.12091520364162556</v>
      </c>
      <c r="H716" s="197">
        <v>3.3830371199889848</v>
      </c>
      <c r="I716" s="197">
        <v>0.38897637056079093</v>
      </c>
      <c r="J716" s="198">
        <v>5.1797146702887528E-2</v>
      </c>
    </row>
    <row r="717" spans="1:10">
      <c r="A717" s="196">
        <v>1</v>
      </c>
      <c r="B717">
        <v>10</v>
      </c>
      <c r="C717" s="196">
        <v>16</v>
      </c>
      <c r="D717" s="196">
        <v>51</v>
      </c>
      <c r="E717" s="197">
        <v>-4.2759224731851075</v>
      </c>
      <c r="F717" s="197">
        <v>0.30357355863394087</v>
      </c>
      <c r="G717" s="198">
        <v>0.53034009382468894</v>
      </c>
      <c r="H717" s="197">
        <v>-1.4137662549199208</v>
      </c>
      <c r="I717" s="197">
        <v>1.2</v>
      </c>
      <c r="J717" s="198">
        <v>0.01</v>
      </c>
    </row>
    <row r="718" spans="1:10">
      <c r="A718" s="196">
        <v>1</v>
      </c>
      <c r="B718">
        <v>10</v>
      </c>
      <c r="C718" s="196">
        <v>16</v>
      </c>
      <c r="D718" s="196">
        <v>52</v>
      </c>
      <c r="E718" s="197">
        <v>121.44633333333333</v>
      </c>
      <c r="F718" s="197">
        <v>-0.76682981090099678</v>
      </c>
      <c r="G718" s="198">
        <v>0.91397383422346701</v>
      </c>
      <c r="H718" s="197">
        <v>141.89104038338391</v>
      </c>
      <c r="I718" s="197">
        <v>16.834355133584864</v>
      </c>
      <c r="J718" s="198">
        <v>1.7017715836730993E-2</v>
      </c>
    </row>
    <row r="719" spans="1:10">
      <c r="A719" s="196">
        <v>1</v>
      </c>
      <c r="B719">
        <v>10</v>
      </c>
      <c r="C719" s="196">
        <v>16</v>
      </c>
      <c r="D719" s="196">
        <v>54</v>
      </c>
      <c r="E719" s="197">
        <v>84.148336613373843</v>
      </c>
      <c r="F719" s="197">
        <v>-0.46054396603611331</v>
      </c>
      <c r="G719" s="198">
        <v>0.45665744707006939</v>
      </c>
      <c r="H719" s="197">
        <v>88.423874563752364</v>
      </c>
      <c r="I719" s="197">
        <v>4.2755379503785207</v>
      </c>
      <c r="J719" s="198">
        <v>8.9676975490692409E-2</v>
      </c>
    </row>
    <row r="720" spans="1:10">
      <c r="A720" s="196">
        <v>1</v>
      </c>
      <c r="B720">
        <v>10</v>
      </c>
      <c r="C720" s="196">
        <v>16</v>
      </c>
      <c r="D720" s="196">
        <v>55</v>
      </c>
      <c r="E720" s="197">
        <v>97.394337081062659</v>
      </c>
      <c r="F720" s="197">
        <v>-0.46054396603611331</v>
      </c>
      <c r="G720" s="198">
        <v>0.45665744707006939</v>
      </c>
      <c r="H720" s="197">
        <v>96.880542885553353</v>
      </c>
      <c r="I720" s="197">
        <v>-0.52754011260599498</v>
      </c>
      <c r="J720" s="198">
        <v>0.26890090107785514</v>
      </c>
    </row>
    <row r="721" spans="1:10">
      <c r="A721" s="196">
        <v>1</v>
      </c>
      <c r="B721">
        <v>10</v>
      </c>
      <c r="C721" s="196">
        <v>16</v>
      </c>
      <c r="D721" s="196">
        <v>56</v>
      </c>
      <c r="E721" s="197">
        <v>23.762297743855463</v>
      </c>
      <c r="F721" s="197">
        <v>0.51157555999722382</v>
      </c>
      <c r="G721" s="198">
        <v>0.58398371597177978</v>
      </c>
      <c r="H721" s="197">
        <v>24.835101949511809</v>
      </c>
      <c r="I721" s="197">
        <v>0.51157555999722382</v>
      </c>
      <c r="J721" s="198">
        <v>0.58398371597177978</v>
      </c>
    </row>
    <row r="722" spans="1:10">
      <c r="A722" s="196">
        <v>1</v>
      </c>
      <c r="B722">
        <v>10</v>
      </c>
      <c r="C722" s="196">
        <v>17</v>
      </c>
      <c r="D722" s="196">
        <v>51</v>
      </c>
      <c r="E722" s="197">
        <v>8.3901266027559807</v>
      </c>
      <c r="F722" s="197">
        <v>0.49998225263160473</v>
      </c>
      <c r="G722" s="198">
        <v>8.3386623109174191E-2</v>
      </c>
      <c r="H722" s="197">
        <v>9.2637707805337577</v>
      </c>
      <c r="I722" s="197">
        <v>0.87364417777777703</v>
      </c>
      <c r="J722" s="198">
        <v>3.0391298817195804E-3</v>
      </c>
    </row>
    <row r="723" spans="1:10">
      <c r="A723" s="196">
        <v>1</v>
      </c>
      <c r="B723">
        <v>10</v>
      </c>
      <c r="C723" s="196">
        <v>17</v>
      </c>
      <c r="D723" s="196">
        <v>52</v>
      </c>
      <c r="E723" s="197">
        <v>125.89433333333334</v>
      </c>
      <c r="F723" s="197">
        <v>7.8057174638487208</v>
      </c>
      <c r="G723" s="198">
        <v>0.25740026032466545</v>
      </c>
      <c r="H723" s="197">
        <v>118.18433338500196</v>
      </c>
      <c r="I723" s="197">
        <v>-6.1241834673506927</v>
      </c>
      <c r="J723" s="198">
        <v>0.37483591536841898</v>
      </c>
    </row>
    <row r="724" spans="1:10">
      <c r="A724" s="196">
        <v>1</v>
      </c>
      <c r="B724">
        <v>10</v>
      </c>
      <c r="C724" s="196">
        <v>17</v>
      </c>
      <c r="D724" s="196">
        <v>54</v>
      </c>
      <c r="E724" s="197">
        <v>97.026689303270587</v>
      </c>
      <c r="F724" s="197">
        <v>0.2884670647180308</v>
      </c>
      <c r="G724" s="198">
        <v>0.56890838709504377</v>
      </c>
      <c r="H724" s="197">
        <v>93.758026023156546</v>
      </c>
      <c r="I724" s="197">
        <v>-3.2686632801140405</v>
      </c>
      <c r="J724" s="198">
        <v>1.927734632048192E-2</v>
      </c>
    </row>
    <row r="725" spans="1:10">
      <c r="A725" s="196">
        <v>1</v>
      </c>
      <c r="B725">
        <v>10</v>
      </c>
      <c r="C725" s="196">
        <v>17</v>
      </c>
      <c r="D725" s="196">
        <v>55</v>
      </c>
      <c r="E725" s="197">
        <v>97.97931187989866</v>
      </c>
      <c r="F725" s="197">
        <v>0.2884670647180308</v>
      </c>
      <c r="G725" s="198">
        <v>0.56890838709504377</v>
      </c>
      <c r="H725" s="197">
        <v>97.555958264854638</v>
      </c>
      <c r="I725" s="197">
        <v>-0.43208469923013543</v>
      </c>
      <c r="J725" s="198">
        <v>0.39196644520337065</v>
      </c>
    </row>
    <row r="726" spans="1:10">
      <c r="A726" s="196">
        <v>1</v>
      </c>
      <c r="B726">
        <v>10</v>
      </c>
      <c r="C726" s="196">
        <v>17</v>
      </c>
      <c r="D726" s="196">
        <v>56</v>
      </c>
      <c r="E726" s="197">
        <v>34.224858224156073</v>
      </c>
      <c r="F726" s="197">
        <v>0.22258447674566337</v>
      </c>
      <c r="G726" s="198">
        <v>0.53618621904884822</v>
      </c>
      <c r="H726" s="197">
        <v>32.92067215212321</v>
      </c>
      <c r="I726" s="197">
        <v>-1.3041860720328629</v>
      </c>
      <c r="J726" s="198">
        <v>1.2012128797318599E-2</v>
      </c>
    </row>
    <row r="727" spans="1:10">
      <c r="A727" s="196">
        <v>1</v>
      </c>
      <c r="B727">
        <v>10</v>
      </c>
      <c r="C727" s="196">
        <v>18</v>
      </c>
      <c r="D727" s="196">
        <v>51</v>
      </c>
      <c r="E727" s="197">
        <v>19.048655552970043</v>
      </c>
      <c r="F727" s="197">
        <v>0.43093584968021187</v>
      </c>
      <c r="G727" s="198">
        <v>0.30645053395327715</v>
      </c>
      <c r="H727" s="197">
        <v>20.095253152970045</v>
      </c>
      <c r="I727" s="197">
        <v>1.0465976000000019</v>
      </c>
      <c r="J727" s="198">
        <v>2.7041697323016839E-3</v>
      </c>
    </row>
    <row r="728" spans="1:10">
      <c r="A728" s="196">
        <v>1</v>
      </c>
      <c r="B728">
        <v>10</v>
      </c>
      <c r="C728" s="196">
        <v>18</v>
      </c>
      <c r="D728" s="196">
        <v>52</v>
      </c>
      <c r="E728" s="197">
        <v>68.443000000000012</v>
      </c>
      <c r="F728" s="197">
        <v>-1.3112124582869777</v>
      </c>
      <c r="G728" s="198">
        <v>0.84443406685602485</v>
      </c>
      <c r="H728" s="197">
        <v>71.260257356142802</v>
      </c>
      <c r="I728" s="197">
        <v>4.1162096286585745</v>
      </c>
      <c r="J728" s="198">
        <v>0.68364256350815056</v>
      </c>
    </row>
    <row r="729" spans="1:10">
      <c r="A729" s="196">
        <v>1</v>
      </c>
      <c r="B729">
        <v>10</v>
      </c>
      <c r="C729" s="196">
        <v>18</v>
      </c>
      <c r="D729" s="196">
        <v>54</v>
      </c>
      <c r="E729" s="197">
        <v>86.880850627901253</v>
      </c>
      <c r="F729" s="197">
        <v>0.44622613358832786</v>
      </c>
      <c r="G729" s="198">
        <v>0.87011183663679004</v>
      </c>
      <c r="H729" s="197">
        <v>83.365457362972435</v>
      </c>
      <c r="I729" s="197">
        <v>-3.515393264928818</v>
      </c>
      <c r="J729" s="198">
        <v>1.4993256079792041E-2</v>
      </c>
    </row>
    <row r="730" spans="1:10">
      <c r="A730" s="196">
        <v>1</v>
      </c>
      <c r="B730">
        <v>10</v>
      </c>
      <c r="C730" s="196">
        <v>18</v>
      </c>
      <c r="D730" s="196">
        <v>55</v>
      </c>
      <c r="E730" s="197">
        <v>84.021073803851095</v>
      </c>
      <c r="F730" s="197">
        <v>0.44622613358832786</v>
      </c>
      <c r="G730" s="198">
        <v>0.87011183663679004</v>
      </c>
      <c r="H730" s="197">
        <v>81.857752838948528</v>
      </c>
      <c r="I730" s="197">
        <v>-2.5747361548281118</v>
      </c>
      <c r="J730" s="198">
        <v>0.53426072678503878</v>
      </c>
    </row>
    <row r="731" spans="1:10">
      <c r="A731" s="196">
        <v>1</v>
      </c>
      <c r="B731">
        <v>10</v>
      </c>
      <c r="C731" s="196">
        <v>18</v>
      </c>
      <c r="D731" s="196">
        <v>56</v>
      </c>
      <c r="E731" s="197">
        <v>6.5225095667749091</v>
      </c>
      <c r="F731" s="197">
        <v>-0.23543562447349112</v>
      </c>
      <c r="G731" s="198">
        <v>0.42309157501835526</v>
      </c>
      <c r="H731" s="197">
        <v>6.0534828297564891</v>
      </c>
      <c r="I731" s="197">
        <v>-0.46902673701842001</v>
      </c>
      <c r="J731" s="198">
        <v>9.313378686554577E-2</v>
      </c>
    </row>
    <row r="732" spans="1:10">
      <c r="A732" s="196">
        <v>1</v>
      </c>
      <c r="B732">
        <v>10</v>
      </c>
      <c r="C732" s="196">
        <v>19</v>
      </c>
      <c r="D732" s="196">
        <v>51</v>
      </c>
      <c r="E732" s="197">
        <v>21.01588171755883</v>
      </c>
      <c r="F732" s="197">
        <v>0.98459578344265752</v>
      </c>
      <c r="G732" s="198">
        <v>8.8119204991008639E-3</v>
      </c>
      <c r="H732" s="197">
        <v>21.869338417558822</v>
      </c>
      <c r="I732" s="197">
        <v>0.85345669999999174</v>
      </c>
      <c r="J732" s="198">
        <v>2.5935262882580055E-2</v>
      </c>
    </row>
    <row r="733" spans="1:10">
      <c r="A733" s="196">
        <v>1</v>
      </c>
      <c r="B733">
        <v>10</v>
      </c>
      <c r="C733" s="196">
        <v>19</v>
      </c>
      <c r="D733" s="196">
        <v>52</v>
      </c>
      <c r="E733" s="197">
        <v>62.45066666666667</v>
      </c>
      <c r="F733" s="197">
        <v>1.2286540600667397</v>
      </c>
      <c r="G733" s="198">
        <v>0.85003321412831612</v>
      </c>
      <c r="H733" s="197">
        <v>68.342574184733465</v>
      </c>
      <c r="I733" s="197">
        <v>9.4344989934456898</v>
      </c>
      <c r="J733" s="198">
        <v>0.55846647833873986</v>
      </c>
    </row>
    <row r="734" spans="1:10">
      <c r="A734" s="196">
        <v>1</v>
      </c>
      <c r="B734">
        <v>10</v>
      </c>
      <c r="C734" s="196">
        <v>19</v>
      </c>
      <c r="D734" s="196">
        <v>54</v>
      </c>
      <c r="E734" s="197">
        <v>94.984138785270105</v>
      </c>
      <c r="F734" s="197">
        <v>-0.59413380981511887</v>
      </c>
      <c r="G734" s="198">
        <v>0.83292544722372319</v>
      </c>
      <c r="H734" s="197">
        <v>98.272496374880177</v>
      </c>
      <c r="I734" s="197">
        <v>3.2883575896100723</v>
      </c>
      <c r="J734" s="198">
        <v>3.7512726729262452E-2</v>
      </c>
    </row>
    <row r="735" spans="1:10">
      <c r="A735" s="196">
        <v>1</v>
      </c>
      <c r="B735">
        <v>10</v>
      </c>
      <c r="C735" s="196">
        <v>19</v>
      </c>
      <c r="D735" s="196">
        <v>55</v>
      </c>
      <c r="E735" s="197">
        <v>82.207128798918376</v>
      </c>
      <c r="F735" s="197">
        <v>-0.59413380981511887</v>
      </c>
      <c r="G735" s="198">
        <v>0.83292544722372319</v>
      </c>
      <c r="H735" s="197">
        <v>79.426527408072104</v>
      </c>
      <c r="I735" s="197">
        <v>-3.3824334111555241</v>
      </c>
      <c r="J735" s="198">
        <v>0.53214631117792366</v>
      </c>
    </row>
    <row r="736" spans="1:10">
      <c r="A736" s="196">
        <v>1</v>
      </c>
      <c r="B736">
        <v>10</v>
      </c>
      <c r="C736" s="196">
        <v>19</v>
      </c>
      <c r="D736" s="196">
        <v>56</v>
      </c>
      <c r="E736" s="197">
        <v>5.467479752078571</v>
      </c>
      <c r="F736" s="197">
        <v>-4.8454012894229244E-2</v>
      </c>
      <c r="G736" s="198">
        <v>0.80960991445706887</v>
      </c>
      <c r="H736" s="197">
        <v>5.4661873716660683</v>
      </c>
      <c r="I736" s="197">
        <v>-1.2923804125026805E-3</v>
      </c>
      <c r="J736" s="198">
        <v>0.99693280210942892</v>
      </c>
    </row>
    <row r="737" spans="1:10">
      <c r="A737" s="196">
        <v>1</v>
      </c>
      <c r="B737">
        <v>24</v>
      </c>
      <c r="C737" s="196">
        <v>13</v>
      </c>
      <c r="D737" s="196">
        <v>51</v>
      </c>
      <c r="E737" s="197">
        <v>22.936570336071433</v>
      </c>
      <c r="F737" s="197">
        <v>9.5947522558884196E-2</v>
      </c>
      <c r="G737" s="198">
        <v>7.2946600037296559E-5</v>
      </c>
      <c r="H737" s="197">
        <v>23.976271486071433</v>
      </c>
      <c r="I737" s="197">
        <v>1.0397011499999991</v>
      </c>
      <c r="J737" s="198">
        <v>3.1012246098893596E-3</v>
      </c>
    </row>
    <row r="738" spans="1:10">
      <c r="A738" s="196">
        <v>1</v>
      </c>
      <c r="B738">
        <v>24</v>
      </c>
      <c r="C738" s="196">
        <v>13</v>
      </c>
      <c r="D738" s="196">
        <v>52</v>
      </c>
      <c r="E738" s="197">
        <v>79.439759262822307</v>
      </c>
      <c r="F738" s="197">
        <v>0.89147819134762718</v>
      </c>
      <c r="G738" s="198">
        <v>0.92465306509098344</v>
      </c>
      <c r="H738" s="197">
        <v>80.651238558094207</v>
      </c>
      <c r="I738" s="197">
        <v>1.5250289106035559</v>
      </c>
      <c r="J738" s="198">
        <v>0.92206036366578437</v>
      </c>
    </row>
    <row r="739" spans="1:10">
      <c r="A739" s="196">
        <v>1</v>
      </c>
      <c r="B739">
        <v>24</v>
      </c>
      <c r="C739" s="196">
        <v>13</v>
      </c>
      <c r="D739" s="196">
        <v>54</v>
      </c>
      <c r="E739" s="197">
        <v>61.453960780959598</v>
      </c>
      <c r="F739" s="197">
        <v>-0.69861521892676182</v>
      </c>
      <c r="G739" s="198">
        <v>0.54036766865096131</v>
      </c>
      <c r="H739" s="197">
        <v>50.185033705521953</v>
      </c>
      <c r="I739" s="197">
        <v>-11.268927075437645</v>
      </c>
      <c r="J739" s="198">
        <v>2.5964008651869984E-3</v>
      </c>
    </row>
    <row r="740" spans="1:10">
      <c r="A740" s="196">
        <v>1</v>
      </c>
      <c r="B740">
        <v>24</v>
      </c>
      <c r="C740" s="196">
        <v>13</v>
      </c>
      <c r="D740" s="196">
        <v>55</v>
      </c>
      <c r="E740" s="197">
        <v>93.715776676442573</v>
      </c>
      <c r="F740" s="197">
        <v>-0.69861521892676182</v>
      </c>
      <c r="G740" s="198">
        <v>0.54036766865096131</v>
      </c>
      <c r="H740" s="197">
        <v>92.973277611503605</v>
      </c>
      <c r="I740" s="197">
        <v>-0.79228822645569363</v>
      </c>
      <c r="J740" s="198">
        <v>0.80905313898473086</v>
      </c>
    </row>
    <row r="741" spans="1:10">
      <c r="A741" s="196">
        <v>1</v>
      </c>
      <c r="B741">
        <v>24</v>
      </c>
      <c r="C741" s="196">
        <v>13</v>
      </c>
      <c r="D741" s="196">
        <v>56</v>
      </c>
      <c r="E741" s="197">
        <v>4.0446794031436886</v>
      </c>
      <c r="F741" s="197">
        <v>-0.7572747601632317</v>
      </c>
      <c r="G741" s="198">
        <v>1.2878421515821867E-4</v>
      </c>
      <c r="H741" s="197">
        <v>3.3529273030794835</v>
      </c>
      <c r="I741" s="197">
        <v>-0.69175210006420507</v>
      </c>
      <c r="J741" s="198">
        <v>3.2807746559680384E-2</v>
      </c>
    </row>
    <row r="742" spans="1:10">
      <c r="A742" s="196">
        <v>1</v>
      </c>
      <c r="B742">
        <v>24</v>
      </c>
      <c r="C742" s="196">
        <v>14</v>
      </c>
      <c r="D742" s="196">
        <v>51</v>
      </c>
      <c r="E742" s="197">
        <v>13.967497957450172</v>
      </c>
      <c r="F742" s="197">
        <v>0.38669681526020161</v>
      </c>
      <c r="G742" s="198">
        <v>0.12228504660683215</v>
      </c>
      <c r="H742" s="197">
        <v>15.650122074116839</v>
      </c>
      <c r="I742" s="197">
        <v>1.6826241166666662</v>
      </c>
      <c r="J742" s="198">
        <v>6.3834711360891674E-6</v>
      </c>
    </row>
    <row r="743" spans="1:10">
      <c r="A743" s="196">
        <v>1</v>
      </c>
      <c r="B743">
        <v>24</v>
      </c>
      <c r="C743" s="196">
        <v>14</v>
      </c>
      <c r="D743" s="196">
        <v>52</v>
      </c>
      <c r="E743" s="197">
        <v>68.772518531771169</v>
      </c>
      <c r="F743" s="197">
        <v>11.519901150349714</v>
      </c>
      <c r="G743" s="198">
        <v>6.8410625461319916E-2</v>
      </c>
      <c r="H743" s="197">
        <v>66.77913561071378</v>
      </c>
      <c r="I743" s="197">
        <v>-2.8985166802296147</v>
      </c>
      <c r="J743" s="198">
        <v>0.77856645329364549</v>
      </c>
    </row>
    <row r="744" spans="1:10">
      <c r="A744" s="196">
        <v>1</v>
      </c>
      <c r="B744">
        <v>24</v>
      </c>
      <c r="C744" s="196">
        <v>14</v>
      </c>
      <c r="D744" s="196">
        <v>54</v>
      </c>
      <c r="E744" s="197">
        <v>95.815981274821254</v>
      </c>
      <c r="F744" s="197">
        <v>3.9284088653862748</v>
      </c>
      <c r="G744" s="198">
        <v>9.6366406286289674E-2</v>
      </c>
      <c r="H744" s="197">
        <v>85.460622276907685</v>
      </c>
      <c r="I744" s="197">
        <v>-10.355358997913569</v>
      </c>
      <c r="J744" s="198">
        <v>9.8286189931999314E-5</v>
      </c>
    </row>
    <row r="745" spans="1:10">
      <c r="A745" s="196">
        <v>1</v>
      </c>
      <c r="B745">
        <v>24</v>
      </c>
      <c r="C745" s="196">
        <v>14</v>
      </c>
      <c r="D745" s="196">
        <v>55</v>
      </c>
      <c r="E745" s="197">
        <v>81.643514926929555</v>
      </c>
      <c r="F745" s="197">
        <v>3.9284088653862748</v>
      </c>
      <c r="G745" s="198">
        <v>9.6366406286289674E-2</v>
      </c>
      <c r="H745" s="197">
        <v>80.698645535256205</v>
      </c>
      <c r="I745" s="197">
        <v>-1.1573110154786985</v>
      </c>
      <c r="J745" s="198">
        <v>0.72565273347951598</v>
      </c>
    </row>
    <row r="746" spans="1:10">
      <c r="A746" s="196">
        <v>1</v>
      </c>
      <c r="B746">
        <v>24</v>
      </c>
      <c r="C746" s="196">
        <v>14</v>
      </c>
      <c r="D746" s="196">
        <v>56</v>
      </c>
      <c r="E746" s="197">
        <v>5.4876794894710992</v>
      </c>
      <c r="F746" s="197">
        <v>0.18080921805581188</v>
      </c>
      <c r="G746" s="198">
        <v>0.3325732056971934</v>
      </c>
      <c r="H746" s="197">
        <v>4.8845968676827916</v>
      </c>
      <c r="I746" s="197">
        <v>-0.60308262178830763</v>
      </c>
      <c r="J746" s="198">
        <v>1.4322079859367154E-2</v>
      </c>
    </row>
    <row r="747" spans="1:10">
      <c r="A747" s="196">
        <v>1</v>
      </c>
      <c r="B747">
        <v>24</v>
      </c>
      <c r="C747" s="196">
        <v>15</v>
      </c>
      <c r="D747" s="196">
        <v>51</v>
      </c>
      <c r="E747" s="197">
        <v>4.4877398604523835</v>
      </c>
      <c r="F747" s="197">
        <v>1.270402919339215</v>
      </c>
      <c r="G747" s="198">
        <v>1.5852737139549378E-2</v>
      </c>
      <c r="H747" s="197">
        <v>5.5538012604523868</v>
      </c>
      <c r="I747" s="197">
        <v>1.0660614000000033</v>
      </c>
      <c r="J747" s="198">
        <v>1.3081262147198239E-2</v>
      </c>
    </row>
    <row r="748" spans="1:10">
      <c r="A748" s="196">
        <v>1</v>
      </c>
      <c r="B748">
        <v>24</v>
      </c>
      <c r="C748" s="196">
        <v>15</v>
      </c>
      <c r="D748" s="196">
        <v>52</v>
      </c>
      <c r="E748" s="197">
        <v>38.891653433206777</v>
      </c>
      <c r="F748" s="197">
        <v>0.29558397323820834</v>
      </c>
      <c r="G748" s="198">
        <v>0.94969791280338578</v>
      </c>
      <c r="H748" s="197">
        <v>42.344400431492318</v>
      </c>
      <c r="I748" s="197">
        <v>8.8778611694032161</v>
      </c>
      <c r="J748" s="198">
        <v>0.53621486905716997</v>
      </c>
    </row>
    <row r="749" spans="1:10">
      <c r="A749" s="196">
        <v>1</v>
      </c>
      <c r="B749">
        <v>24</v>
      </c>
      <c r="C749" s="196">
        <v>15</v>
      </c>
      <c r="D749" s="196">
        <v>54</v>
      </c>
      <c r="E749" s="197">
        <v>92.631843773561187</v>
      </c>
      <c r="F749" s="197">
        <v>-1.5866979832778796</v>
      </c>
      <c r="G749" s="198">
        <v>0.55022443528357523</v>
      </c>
      <c r="H749" s="197">
        <v>84.135850045006094</v>
      </c>
      <c r="I749" s="197">
        <v>-8.4959937285550922</v>
      </c>
      <c r="J749" s="198">
        <v>1.8207416471336006E-2</v>
      </c>
    </row>
    <row r="750" spans="1:10">
      <c r="A750" s="196">
        <v>1</v>
      </c>
      <c r="B750">
        <v>24</v>
      </c>
      <c r="C750" s="196">
        <v>15</v>
      </c>
      <c r="D750" s="196">
        <v>55</v>
      </c>
      <c r="E750" s="197">
        <v>69.578417258037319</v>
      </c>
      <c r="F750" s="197">
        <v>-1.5866979832778796</v>
      </c>
      <c r="G750" s="198">
        <v>0.55022443528357523</v>
      </c>
      <c r="H750" s="197">
        <v>71.274358759202258</v>
      </c>
      <c r="I750" s="197">
        <v>2.4374534058103032</v>
      </c>
      <c r="J750" s="198">
        <v>0.63296118102945642</v>
      </c>
    </row>
    <row r="751" spans="1:10">
      <c r="A751" s="196">
        <v>1</v>
      </c>
      <c r="B751">
        <v>24</v>
      </c>
      <c r="C751" s="196">
        <v>15</v>
      </c>
      <c r="D751" s="196">
        <v>56</v>
      </c>
      <c r="E751" s="197">
        <v>3.2486566053153578</v>
      </c>
      <c r="F751" s="197">
        <v>6.1787127727940865E-2</v>
      </c>
      <c r="G751" s="198">
        <v>0.7755013706011461</v>
      </c>
      <c r="H751" s="197">
        <v>2.9851944336250282</v>
      </c>
      <c r="I751" s="197">
        <v>-0.26346217169032959</v>
      </c>
      <c r="J751" s="198">
        <v>0.18148715035903984</v>
      </c>
    </row>
    <row r="752" spans="1:10">
      <c r="A752" s="196">
        <v>1</v>
      </c>
      <c r="B752">
        <v>24</v>
      </c>
      <c r="C752" s="196">
        <v>16</v>
      </c>
      <c r="D752" s="196">
        <v>51</v>
      </c>
      <c r="E752" s="197">
        <v>-0.79060497347554559</v>
      </c>
      <c r="F752" s="197">
        <v>0.30194437476638281</v>
      </c>
      <c r="G752" s="198">
        <v>0.46377427644862779</v>
      </c>
      <c r="H752" s="197">
        <v>-1.4137662549199208</v>
      </c>
      <c r="I752" s="197">
        <v>1.2</v>
      </c>
      <c r="J752" s="198">
        <v>0.01</v>
      </c>
    </row>
    <row r="753" spans="1:10">
      <c r="A753" s="196">
        <v>1</v>
      </c>
      <c r="B753">
        <v>24</v>
      </c>
      <c r="C753" s="196">
        <v>16</v>
      </c>
      <c r="D753" s="196">
        <v>52</v>
      </c>
      <c r="E753" s="197">
        <v>95.209907411846018</v>
      </c>
      <c r="F753" s="197">
        <v>8.2536905272324557</v>
      </c>
      <c r="G753" s="198">
        <v>0.29399996456277955</v>
      </c>
      <c r="H753" s="197">
        <v>110.96919491172956</v>
      </c>
      <c r="I753" s="197">
        <v>16.552150850976215</v>
      </c>
      <c r="J753" s="198">
        <v>4.8812157267633757E-2</v>
      </c>
    </row>
    <row r="754" spans="1:10">
      <c r="A754" s="196">
        <v>1</v>
      </c>
      <c r="B754">
        <v>24</v>
      </c>
      <c r="C754" s="196">
        <v>16</v>
      </c>
      <c r="D754" s="196">
        <v>54</v>
      </c>
      <c r="E754" s="197">
        <v>95.689099004590673</v>
      </c>
      <c r="F754" s="197">
        <v>-0.15795046239488406</v>
      </c>
      <c r="G754" s="198">
        <v>0.8846376839749488</v>
      </c>
      <c r="H754" s="197">
        <v>83.646483078290601</v>
      </c>
      <c r="I754" s="197">
        <v>-12.042615926300073</v>
      </c>
      <c r="J754" s="198">
        <v>8.0095618231364033E-4</v>
      </c>
    </row>
    <row r="755" spans="1:10">
      <c r="A755" s="196">
        <v>1</v>
      </c>
      <c r="B755">
        <v>24</v>
      </c>
      <c r="C755" s="196">
        <v>16</v>
      </c>
      <c r="D755" s="196">
        <v>55</v>
      </c>
      <c r="E755" s="197">
        <v>93.818633852407771</v>
      </c>
      <c r="F755" s="197">
        <v>-0.15795046239488406</v>
      </c>
      <c r="G755" s="198">
        <v>0.8846376839749488</v>
      </c>
      <c r="H755" s="197">
        <v>94.441723673414629</v>
      </c>
      <c r="I755" s="197">
        <v>0.66414292707254707</v>
      </c>
      <c r="J755" s="198">
        <v>0.45773007232080598</v>
      </c>
    </row>
    <row r="756" spans="1:10">
      <c r="A756" s="196">
        <v>1</v>
      </c>
      <c r="B756">
        <v>24</v>
      </c>
      <c r="C756" s="196">
        <v>16</v>
      </c>
      <c r="D756" s="196">
        <v>56</v>
      </c>
      <c r="E756" s="197">
        <v>26.02394241123072</v>
      </c>
      <c r="F756" s="197">
        <v>0.11054614902401638</v>
      </c>
      <c r="G756" s="198">
        <v>0.79417809926279204</v>
      </c>
      <c r="H756" s="197">
        <v>22.741655189973461</v>
      </c>
      <c r="I756" s="197">
        <v>0.11054614902401638</v>
      </c>
      <c r="J756" s="198">
        <v>0.79417809926279204</v>
      </c>
    </row>
    <row r="757" spans="1:10">
      <c r="A757" s="196">
        <v>1</v>
      </c>
      <c r="B757">
        <v>24</v>
      </c>
      <c r="C757" s="196">
        <v>17</v>
      </c>
      <c r="D757" s="196">
        <v>51</v>
      </c>
      <c r="E757" s="197">
        <v>9.6992570021314517</v>
      </c>
      <c r="F757" s="197">
        <v>0.63971708849321773</v>
      </c>
      <c r="G757" s="198">
        <v>1.3624344528738215E-2</v>
      </c>
      <c r="H757" s="197">
        <v>10.524272679909229</v>
      </c>
      <c r="I757" s="197">
        <v>0.82501567777777751</v>
      </c>
      <c r="J757" s="198">
        <v>9.6257079712966693E-5</v>
      </c>
    </row>
    <row r="758" spans="1:10">
      <c r="A758" s="196">
        <v>1</v>
      </c>
      <c r="B758">
        <v>24</v>
      </c>
      <c r="C758" s="196">
        <v>17</v>
      </c>
      <c r="D758" s="196">
        <v>52</v>
      </c>
      <c r="E758" s="197">
        <v>99.113277762387369</v>
      </c>
      <c r="F758" s="197">
        <v>2.3502521065350339</v>
      </c>
      <c r="G758" s="198">
        <v>0.74738964514735073</v>
      </c>
      <c r="H758" s="197">
        <v>104.05528232818219</v>
      </c>
      <c r="I758" s="197">
        <v>4.9862184738181092</v>
      </c>
      <c r="J758" s="198">
        <v>0.47266340817207553</v>
      </c>
    </row>
    <row r="759" spans="1:10">
      <c r="A759" s="196">
        <v>1</v>
      </c>
      <c r="B759">
        <v>24</v>
      </c>
      <c r="C759" s="196">
        <v>17</v>
      </c>
      <c r="D759" s="196">
        <v>54</v>
      </c>
      <c r="E759" s="197">
        <v>91.988352863351551</v>
      </c>
      <c r="F759" s="197">
        <v>-1.6686980780816457E-2</v>
      </c>
      <c r="G759" s="198">
        <v>0.9845647944208602</v>
      </c>
      <c r="H759" s="197">
        <v>84.523417919013056</v>
      </c>
      <c r="I759" s="197">
        <v>-7.4649349443384949</v>
      </c>
      <c r="J759" s="198">
        <v>8.3002600044096349E-5</v>
      </c>
    </row>
    <row r="760" spans="1:10">
      <c r="A760" s="196">
        <v>1</v>
      </c>
      <c r="B760">
        <v>24</v>
      </c>
      <c r="C760" s="196">
        <v>17</v>
      </c>
      <c r="D760" s="196">
        <v>55</v>
      </c>
      <c r="E760" s="197">
        <v>95.280079698153287</v>
      </c>
      <c r="F760" s="197">
        <v>-1.6686980780816457E-2</v>
      </c>
      <c r="G760" s="198">
        <v>0.9845647944208602</v>
      </c>
      <c r="H760" s="197">
        <v>95.548449865598116</v>
      </c>
      <c r="I760" s="197">
        <v>0.28166450772818091</v>
      </c>
      <c r="J760" s="198">
        <v>0.77279888209785574</v>
      </c>
    </row>
    <row r="761" spans="1:10">
      <c r="A761" s="196">
        <v>1</v>
      </c>
      <c r="B761">
        <v>24</v>
      </c>
      <c r="C761" s="196">
        <v>17</v>
      </c>
      <c r="D761" s="196">
        <v>56</v>
      </c>
      <c r="E761" s="197">
        <v>31.581904154216023</v>
      </c>
      <c r="F761" s="197">
        <v>-0.89727623955552926</v>
      </c>
      <c r="G761" s="198">
        <v>0.12669699405280899</v>
      </c>
      <c r="H761" s="197">
        <v>29.034993081880113</v>
      </c>
      <c r="I761" s="197">
        <v>-2.5469110723359094</v>
      </c>
      <c r="J761" s="198">
        <v>5.673857980018972E-4</v>
      </c>
    </row>
    <row r="762" spans="1:10">
      <c r="A762" s="196">
        <v>1</v>
      </c>
      <c r="B762">
        <v>24</v>
      </c>
      <c r="C762" s="196">
        <v>18</v>
      </c>
      <c r="D762" s="196">
        <v>51</v>
      </c>
      <c r="E762" s="197">
        <v>20.579015430285612</v>
      </c>
      <c r="F762" s="197">
        <v>0.65118423459242769</v>
      </c>
      <c r="G762" s="198">
        <v>2.6511196220125505E-2</v>
      </c>
      <c r="H762" s="197">
        <v>21.627099030285617</v>
      </c>
      <c r="I762" s="197">
        <v>1.0480836000000053</v>
      </c>
      <c r="J762" s="198">
        <v>4.3779624266982223E-4</v>
      </c>
    </row>
    <row r="763" spans="1:10">
      <c r="A763" s="196">
        <v>1</v>
      </c>
      <c r="B763">
        <v>24</v>
      </c>
      <c r="C763" s="196">
        <v>18</v>
      </c>
      <c r="D763" s="196">
        <v>52</v>
      </c>
      <c r="E763" s="197">
        <v>46.884240732805587</v>
      </c>
      <c r="F763" s="197">
        <v>3.1733864642560845</v>
      </c>
      <c r="G763" s="198">
        <v>0.40005740713224569</v>
      </c>
      <c r="H763" s="197">
        <v>54.353312581165127</v>
      </c>
      <c r="I763" s="197">
        <v>15.930879399169454</v>
      </c>
      <c r="J763" s="198">
        <v>0.32976755547548176</v>
      </c>
    </row>
    <row r="764" spans="1:10">
      <c r="A764" s="196">
        <v>1</v>
      </c>
      <c r="B764">
        <v>24</v>
      </c>
      <c r="C764" s="196">
        <v>18</v>
      </c>
      <c r="D764" s="196">
        <v>54</v>
      </c>
      <c r="E764" s="197">
        <v>76.163299826190496</v>
      </c>
      <c r="F764" s="197">
        <v>-0.53567535851370618</v>
      </c>
      <c r="G764" s="198">
        <v>0.64992763349950122</v>
      </c>
      <c r="H764" s="197">
        <v>68.876576015215306</v>
      </c>
      <c r="I764" s="197">
        <v>-7.2867238109751895</v>
      </c>
      <c r="J764" s="198">
        <v>5.2896957737414547E-4</v>
      </c>
    </row>
    <row r="765" spans="1:10">
      <c r="A765" s="196">
        <v>1</v>
      </c>
      <c r="B765">
        <v>24</v>
      </c>
      <c r="C765" s="196">
        <v>18</v>
      </c>
      <c r="D765" s="196">
        <v>55</v>
      </c>
      <c r="E765" s="197">
        <v>92.624302240703216</v>
      </c>
      <c r="F765" s="197">
        <v>-0.53567535851370618</v>
      </c>
      <c r="G765" s="198">
        <v>0.64992763349950122</v>
      </c>
      <c r="H765" s="197">
        <v>90.546950620983409</v>
      </c>
      <c r="I765" s="197">
        <v>-2.2427716802890281</v>
      </c>
      <c r="J765" s="198">
        <v>0.18891813966527737</v>
      </c>
    </row>
    <row r="766" spans="1:10">
      <c r="A766" s="196">
        <v>1</v>
      </c>
      <c r="B766">
        <v>24</v>
      </c>
      <c r="C766" s="196">
        <v>18</v>
      </c>
      <c r="D766" s="196">
        <v>56</v>
      </c>
      <c r="E766" s="197">
        <v>6.3486880293367269</v>
      </c>
      <c r="F766" s="197">
        <v>-0.62435253854536432</v>
      </c>
      <c r="G766" s="198">
        <v>2.4040023613877252E-2</v>
      </c>
      <c r="H766" s="197">
        <v>5.5245877069301432</v>
      </c>
      <c r="I766" s="197">
        <v>-0.82410032240658371</v>
      </c>
      <c r="J766" s="198">
        <v>2.2076245372793542E-6</v>
      </c>
    </row>
    <row r="767" spans="1:10">
      <c r="A767" s="196">
        <v>1</v>
      </c>
      <c r="B767">
        <v>24</v>
      </c>
      <c r="C767" s="196">
        <v>19</v>
      </c>
      <c r="D767" s="196">
        <v>51</v>
      </c>
      <c r="E767" s="197">
        <v>23.246067798463343</v>
      </c>
      <c r="F767" s="197">
        <v>0.92127642246563601</v>
      </c>
      <c r="G767" s="198">
        <v>7.2929500667029802E-3</v>
      </c>
      <c r="H767" s="197">
        <v>24.096001365130018</v>
      </c>
      <c r="I767" s="197">
        <v>0.84993356666667452</v>
      </c>
      <c r="J767" s="198">
        <v>1.6164366980265778E-2</v>
      </c>
    </row>
    <row r="768" spans="1:10">
      <c r="A768" s="196">
        <v>1</v>
      </c>
      <c r="B768">
        <v>24</v>
      </c>
      <c r="C768" s="196">
        <v>19</v>
      </c>
      <c r="D768" s="196">
        <v>52</v>
      </c>
      <c r="E768" s="197">
        <v>43.351666666923286</v>
      </c>
      <c r="F768" s="197">
        <v>-0.2025336786621976</v>
      </c>
      <c r="G768" s="198">
        <v>0.97536745744869724</v>
      </c>
      <c r="H768" s="197">
        <v>48.059577850213678</v>
      </c>
      <c r="I768" s="197">
        <v>10.859815885423528</v>
      </c>
      <c r="J768" s="198">
        <v>0.62166447294745786</v>
      </c>
    </row>
    <row r="769" spans="1:10">
      <c r="A769" s="196">
        <v>1</v>
      </c>
      <c r="B769">
        <v>24</v>
      </c>
      <c r="C769" s="196">
        <v>19</v>
      </c>
      <c r="D769" s="196">
        <v>54</v>
      </c>
      <c r="E769" s="197">
        <v>92.526031480711509</v>
      </c>
      <c r="F769" s="197">
        <v>-8.7335217633942239E-2</v>
      </c>
      <c r="G769" s="198">
        <v>0.97249459641400382</v>
      </c>
      <c r="H769" s="197">
        <v>91.536239053241246</v>
      </c>
      <c r="I769" s="197">
        <v>-0.98979242747026319</v>
      </c>
      <c r="J769" s="198">
        <v>0.26360847776843099</v>
      </c>
    </row>
    <row r="770" spans="1:10">
      <c r="A770" s="196">
        <v>1</v>
      </c>
      <c r="B770">
        <v>24</v>
      </c>
      <c r="C770" s="196">
        <v>19</v>
      </c>
      <c r="D770" s="196">
        <v>55</v>
      </c>
      <c r="E770" s="197">
        <v>89.323159637369642</v>
      </c>
      <c r="F770" s="197">
        <v>-8.7335217633942239E-2</v>
      </c>
      <c r="G770" s="198">
        <v>0.97249459641400382</v>
      </c>
      <c r="H770" s="197">
        <v>88.554830620528463</v>
      </c>
      <c r="I770" s="197">
        <v>-0.8601677548806077</v>
      </c>
      <c r="J770" s="198">
        <v>0.67857748152602526</v>
      </c>
    </row>
    <row r="771" spans="1:10">
      <c r="A771" s="196">
        <v>1</v>
      </c>
      <c r="B771">
        <v>24</v>
      </c>
      <c r="C771" s="196">
        <v>19</v>
      </c>
      <c r="D771" s="196">
        <v>56</v>
      </c>
      <c r="E771" s="197">
        <v>5.7616370588480663</v>
      </c>
      <c r="F771" s="197">
        <v>-0.28882804052114885</v>
      </c>
      <c r="G771" s="198">
        <v>0.11133266182454671</v>
      </c>
      <c r="H771" s="197">
        <v>5.6404416212929158</v>
      </c>
      <c r="I771" s="197">
        <v>-0.1211954375551505</v>
      </c>
      <c r="J771" s="198">
        <v>0.4007956240303826</v>
      </c>
    </row>
    <row r="772" spans="1:10">
      <c r="A772" s="196">
        <v>1</v>
      </c>
      <c r="B772">
        <v>8</v>
      </c>
      <c r="C772" s="196">
        <v>13</v>
      </c>
      <c r="D772" s="196">
        <v>51</v>
      </c>
      <c r="E772" s="197">
        <v>18.751236559057748</v>
      </c>
      <c r="F772" s="197">
        <v>0.90578707486875398</v>
      </c>
      <c r="G772" s="198">
        <v>6.4232651779618752E-5</v>
      </c>
      <c r="H772" s="197">
        <v>19.67657304239108</v>
      </c>
      <c r="I772" s="197">
        <v>0.92533648333333218</v>
      </c>
      <c r="J772" s="198">
        <v>2.4055112266528752E-3</v>
      </c>
    </row>
    <row r="773" spans="1:10">
      <c r="A773" s="196">
        <v>1</v>
      </c>
      <c r="B773">
        <v>8</v>
      </c>
      <c r="C773" s="196">
        <v>13</v>
      </c>
      <c r="D773" s="196">
        <v>52</v>
      </c>
      <c r="E773" s="197">
        <v>177.88400000000001</v>
      </c>
      <c r="F773" s="197">
        <v>13.083604004449388</v>
      </c>
      <c r="G773" s="198">
        <v>0.38156877992608307</v>
      </c>
      <c r="H773" s="197">
        <v>169.67803799099246</v>
      </c>
      <c r="I773" s="197">
        <v>-4.6130973044273507</v>
      </c>
      <c r="J773" s="198">
        <v>0.59978061471158395</v>
      </c>
    </row>
    <row r="774" spans="1:10">
      <c r="A774" s="196">
        <v>1</v>
      </c>
      <c r="B774">
        <v>8</v>
      </c>
      <c r="C774" s="196">
        <v>13</v>
      </c>
      <c r="D774" s="196">
        <v>54</v>
      </c>
      <c r="E774" s="197">
        <v>96.443643966645865</v>
      </c>
      <c r="F774" s="197">
        <v>-1.2685144744036849</v>
      </c>
      <c r="G774" s="198">
        <v>0.50436271968859825</v>
      </c>
      <c r="H774" s="197">
        <v>97.790743538546494</v>
      </c>
      <c r="I774" s="197">
        <v>1.347099571900614</v>
      </c>
      <c r="J774" s="198">
        <v>0.18863929129521839</v>
      </c>
    </row>
    <row r="775" spans="1:10">
      <c r="A775" s="196">
        <v>1</v>
      </c>
      <c r="B775">
        <v>8</v>
      </c>
      <c r="C775" s="196">
        <v>13</v>
      </c>
      <c r="D775" s="196">
        <v>55</v>
      </c>
      <c r="E775" s="197">
        <v>95.089789526791961</v>
      </c>
      <c r="F775" s="197">
        <v>-1.2685144744036849</v>
      </c>
      <c r="G775" s="198">
        <v>0.50436271968859825</v>
      </c>
      <c r="H775" s="197">
        <v>96.263636325937838</v>
      </c>
      <c r="I775" s="197">
        <v>1.2344614547865163</v>
      </c>
      <c r="J775" s="198">
        <v>0.41474054431348151</v>
      </c>
    </row>
    <row r="776" spans="1:10">
      <c r="A776" s="196">
        <v>1</v>
      </c>
      <c r="B776">
        <v>8</v>
      </c>
      <c r="C776" s="196">
        <v>13</v>
      </c>
      <c r="D776" s="196">
        <v>56</v>
      </c>
      <c r="E776" s="197">
        <v>6.4140737544732627</v>
      </c>
      <c r="F776" s="197">
        <v>-0.29510535221832845</v>
      </c>
      <c r="G776" s="198">
        <v>2.7518942158110453E-2</v>
      </c>
      <c r="H776" s="197">
        <v>6.5777261983436706</v>
      </c>
      <c r="I776" s="197">
        <v>0.16365244387040789</v>
      </c>
      <c r="J776" s="198">
        <v>0.19667592568948611</v>
      </c>
    </row>
    <row r="777" spans="1:10">
      <c r="A777" s="196">
        <v>1</v>
      </c>
      <c r="B777">
        <v>8</v>
      </c>
      <c r="C777" s="196">
        <v>14</v>
      </c>
      <c r="D777" s="196">
        <v>51</v>
      </c>
      <c r="E777" s="197">
        <v>10.748524731561968</v>
      </c>
      <c r="F777" s="197">
        <v>3.564165661270622E-2</v>
      </c>
      <c r="G777" s="198">
        <v>0.86919415804959166</v>
      </c>
      <c r="H777" s="197">
        <v>12.291809681561968</v>
      </c>
      <c r="I777" s="197">
        <v>1.5432849500000003</v>
      </c>
      <c r="J777" s="198">
        <v>6.5023555487269795E-6</v>
      </c>
    </row>
    <row r="778" spans="1:10">
      <c r="A778" s="196">
        <v>1</v>
      </c>
      <c r="B778">
        <v>8</v>
      </c>
      <c r="C778" s="196">
        <v>14</v>
      </c>
      <c r="D778" s="196">
        <v>52</v>
      </c>
      <c r="E778" s="197">
        <v>97.375333333333359</v>
      </c>
      <c r="F778" s="197">
        <v>13.736462736373749</v>
      </c>
      <c r="G778" s="198">
        <v>0.10709832113603435</v>
      </c>
      <c r="H778" s="197">
        <v>96.519582746764357</v>
      </c>
      <c r="I778" s="197">
        <v>-0.87881659273977353</v>
      </c>
      <c r="J778" s="198">
        <v>0.92138788243377934</v>
      </c>
    </row>
    <row r="779" spans="1:10">
      <c r="A779" s="196">
        <v>1</v>
      </c>
      <c r="B779">
        <v>8</v>
      </c>
      <c r="C779" s="196">
        <v>14</v>
      </c>
      <c r="D779" s="196">
        <v>54</v>
      </c>
      <c r="E779" s="197">
        <v>94.243907699023623</v>
      </c>
      <c r="F779" s="197">
        <v>3.2395069861669978</v>
      </c>
      <c r="G779" s="198">
        <v>0.10589559532292647</v>
      </c>
      <c r="H779" s="197">
        <v>99.572923180831538</v>
      </c>
      <c r="I779" s="197">
        <v>5.3290154818079145</v>
      </c>
      <c r="J779" s="198">
        <v>4.7218347231793673E-5</v>
      </c>
    </row>
    <row r="780" spans="1:10">
      <c r="A780" s="196">
        <v>1</v>
      </c>
      <c r="B780">
        <v>8</v>
      </c>
      <c r="C780" s="196">
        <v>14</v>
      </c>
      <c r="D780" s="196">
        <v>55</v>
      </c>
      <c r="E780" s="197">
        <v>89.342411484242618</v>
      </c>
      <c r="F780" s="197">
        <v>3.2395069861669978</v>
      </c>
      <c r="G780" s="198">
        <v>0.10589559532292647</v>
      </c>
      <c r="H780" s="197">
        <v>89.266845015671151</v>
      </c>
      <c r="I780" s="197">
        <v>-8.458073530374681E-2</v>
      </c>
      <c r="J780" s="198">
        <v>0.96471432894001741</v>
      </c>
    </row>
    <row r="781" spans="1:10">
      <c r="A781" s="196">
        <v>1</v>
      </c>
      <c r="B781">
        <v>8</v>
      </c>
      <c r="C781" s="196">
        <v>14</v>
      </c>
      <c r="D781" s="196">
        <v>56</v>
      </c>
      <c r="E781" s="197">
        <v>5.8887117108163833</v>
      </c>
      <c r="F781" s="197">
        <v>0.21879212609174872</v>
      </c>
      <c r="G781" s="198">
        <v>0.10235051378193312</v>
      </c>
      <c r="H781" s="197">
        <v>6.220611429137981</v>
      </c>
      <c r="I781" s="197">
        <v>0.3318997183215977</v>
      </c>
      <c r="J781" s="198">
        <v>3.2651650695724579E-2</v>
      </c>
    </row>
    <row r="782" spans="1:10">
      <c r="A782" s="196">
        <v>1</v>
      </c>
      <c r="B782">
        <v>8</v>
      </c>
      <c r="C782" s="196">
        <v>15</v>
      </c>
      <c r="D782" s="196">
        <v>51</v>
      </c>
      <c r="E782" s="197">
        <v>2.0757777781354054</v>
      </c>
      <c r="F782" s="197">
        <v>1.1776047467568824</v>
      </c>
      <c r="G782" s="198">
        <v>3.2583191544442648E-2</v>
      </c>
      <c r="H782" s="197">
        <v>2.9388855781354062</v>
      </c>
      <c r="I782" s="197">
        <v>0.86310780000000076</v>
      </c>
      <c r="J782" s="198">
        <v>7.0641879691890938E-2</v>
      </c>
    </row>
    <row r="783" spans="1:10">
      <c r="A783" s="196">
        <v>1</v>
      </c>
      <c r="B783">
        <v>8</v>
      </c>
      <c r="C783" s="196">
        <v>15</v>
      </c>
      <c r="D783" s="196">
        <v>52</v>
      </c>
      <c r="E783" s="197">
        <v>39.337999999999994</v>
      </c>
      <c r="F783" s="197">
        <v>-1.2759510567296961</v>
      </c>
      <c r="G783" s="198">
        <v>0.70089423024111763</v>
      </c>
      <c r="H783" s="197">
        <v>38.195790295370784</v>
      </c>
      <c r="I783" s="197">
        <v>-2.9035784855081843</v>
      </c>
      <c r="J783" s="198">
        <v>0.75776694450824289</v>
      </c>
    </row>
    <row r="784" spans="1:10">
      <c r="A784" s="196">
        <v>1</v>
      </c>
      <c r="B784">
        <v>8</v>
      </c>
      <c r="C784" s="196">
        <v>15</v>
      </c>
      <c r="D784" s="196">
        <v>54</v>
      </c>
      <c r="E784" s="197">
        <v>87.042620525682409</v>
      </c>
      <c r="F784" s="197">
        <v>3.900171550465215</v>
      </c>
      <c r="G784" s="198">
        <v>0.21005861566248696</v>
      </c>
      <c r="H784" s="197">
        <v>88.055808795775647</v>
      </c>
      <c r="I784" s="197">
        <v>1.013188270093238</v>
      </c>
      <c r="J784" s="198">
        <v>0.52030972943723786</v>
      </c>
    </row>
    <row r="785" spans="1:10">
      <c r="A785" s="196">
        <v>1</v>
      </c>
      <c r="B785">
        <v>8</v>
      </c>
      <c r="C785" s="196">
        <v>15</v>
      </c>
      <c r="D785" s="196">
        <v>55</v>
      </c>
      <c r="E785" s="197">
        <v>72.437684887540556</v>
      </c>
      <c r="F785" s="197">
        <v>3.900171550465215</v>
      </c>
      <c r="G785" s="198">
        <v>0.21005861566248696</v>
      </c>
      <c r="H785" s="197">
        <v>71.918259407923543</v>
      </c>
      <c r="I785" s="197">
        <v>-0.7170652684765072</v>
      </c>
      <c r="J785" s="198">
        <v>0.80792059436798147</v>
      </c>
    </row>
    <row r="786" spans="1:10">
      <c r="A786" s="196">
        <v>1</v>
      </c>
      <c r="B786">
        <v>8</v>
      </c>
      <c r="C786" s="196">
        <v>15</v>
      </c>
      <c r="D786" s="196">
        <v>56</v>
      </c>
      <c r="E786" s="197">
        <v>3.1340920208024299</v>
      </c>
      <c r="F786" s="197">
        <v>0.11548823703539769</v>
      </c>
      <c r="G786" s="198">
        <v>0.41582979453597013</v>
      </c>
      <c r="H786" s="197">
        <v>3.1728079245652863</v>
      </c>
      <c r="I786" s="197">
        <v>3.8715903762856385E-2</v>
      </c>
      <c r="J786" s="198">
        <v>0.78557243262475918</v>
      </c>
    </row>
    <row r="787" spans="1:10">
      <c r="A787" s="196">
        <v>1</v>
      </c>
      <c r="B787">
        <v>8</v>
      </c>
      <c r="C787" s="196">
        <v>16</v>
      </c>
      <c r="D787" s="196">
        <v>51</v>
      </c>
      <c r="E787" s="197">
        <v>-2.9539460978989291</v>
      </c>
      <c r="F787" s="197">
        <v>0.33850164400950578</v>
      </c>
      <c r="G787" s="198">
        <v>0.49660093687519791</v>
      </c>
      <c r="H787" s="197">
        <v>-1.4137662549199208</v>
      </c>
      <c r="I787" s="197">
        <v>1.2</v>
      </c>
      <c r="J787" s="198">
        <v>0.01</v>
      </c>
    </row>
    <row r="788" spans="1:10">
      <c r="A788" s="196">
        <v>1</v>
      </c>
      <c r="B788">
        <v>8</v>
      </c>
      <c r="C788" s="196">
        <v>16</v>
      </c>
      <c r="D788" s="196">
        <v>52</v>
      </c>
      <c r="E788" s="197">
        <v>104.85555555555555</v>
      </c>
      <c r="F788" s="197">
        <v>-2.4304041527623292</v>
      </c>
      <c r="G788" s="198">
        <v>0.61299312752711588</v>
      </c>
      <c r="H788" s="197">
        <v>112.44598853424485</v>
      </c>
      <c r="I788" s="197">
        <v>7.2389421223062094</v>
      </c>
      <c r="J788" s="198">
        <v>0.25365719343295012</v>
      </c>
    </row>
    <row r="789" spans="1:10">
      <c r="A789" s="196">
        <v>1</v>
      </c>
      <c r="B789">
        <v>8</v>
      </c>
      <c r="C789" s="196">
        <v>16</v>
      </c>
      <c r="D789" s="196">
        <v>54</v>
      </c>
      <c r="E789" s="197">
        <v>90.432918533303635</v>
      </c>
      <c r="F789" s="197">
        <v>-0.31200045843900848</v>
      </c>
      <c r="G789" s="198">
        <v>0.59446347949448197</v>
      </c>
      <c r="H789" s="197">
        <v>89.928349747820107</v>
      </c>
      <c r="I789" s="197">
        <v>-0.5045687854835279</v>
      </c>
      <c r="J789" s="198">
        <v>0.73741490304049351</v>
      </c>
    </row>
    <row r="790" spans="1:10">
      <c r="A790" s="196">
        <v>1</v>
      </c>
      <c r="B790">
        <v>8</v>
      </c>
      <c r="C790" s="196">
        <v>16</v>
      </c>
      <c r="D790" s="196">
        <v>55</v>
      </c>
      <c r="E790" s="197">
        <v>96.335852653516994</v>
      </c>
      <c r="F790" s="197">
        <v>-0.31200045843900848</v>
      </c>
      <c r="G790" s="198">
        <v>0.59446347949448197</v>
      </c>
      <c r="H790" s="197">
        <v>96.272823917619277</v>
      </c>
      <c r="I790" s="197">
        <v>-6.5426042497816167E-2</v>
      </c>
      <c r="J790" s="198">
        <v>0.88198294108065189</v>
      </c>
    </row>
    <row r="791" spans="1:10">
      <c r="A791" s="196">
        <v>1</v>
      </c>
      <c r="B791">
        <v>8</v>
      </c>
      <c r="C791" s="196">
        <v>16</v>
      </c>
      <c r="D791" s="196">
        <v>56</v>
      </c>
      <c r="E791" s="197">
        <v>25.237428116309768</v>
      </c>
      <c r="F791" s="197">
        <v>0.50855852918639155</v>
      </c>
      <c r="G791" s="198">
        <v>0.49597148422623061</v>
      </c>
      <c r="H791" s="197">
        <v>25.066578969813932</v>
      </c>
      <c r="I791" s="197">
        <v>0.50855852918639155</v>
      </c>
      <c r="J791" s="198">
        <v>0.49597148422623061</v>
      </c>
    </row>
    <row r="792" spans="1:10">
      <c r="A792" s="196">
        <v>1</v>
      </c>
      <c r="B792">
        <v>8</v>
      </c>
      <c r="C792" s="196">
        <v>17</v>
      </c>
      <c r="D792" s="196">
        <v>51</v>
      </c>
      <c r="E792" s="197">
        <v>8.1689627239072475</v>
      </c>
      <c r="F792" s="197">
        <v>0.46924324469445111</v>
      </c>
      <c r="G792" s="198">
        <v>7.2580303876473504E-2</v>
      </c>
      <c r="H792" s="197">
        <v>8.8638731127961332</v>
      </c>
      <c r="I792" s="197">
        <v>0.69491038888888568</v>
      </c>
      <c r="J792" s="198">
        <v>3.8158443657687825E-3</v>
      </c>
    </row>
    <row r="793" spans="1:10">
      <c r="A793" s="196">
        <v>1</v>
      </c>
      <c r="B793">
        <v>8</v>
      </c>
      <c r="C793" s="196">
        <v>17</v>
      </c>
      <c r="D793" s="196">
        <v>52</v>
      </c>
      <c r="E793" s="197">
        <v>139.67433333333335</v>
      </c>
      <c r="F793" s="197">
        <v>1.2755728587319242</v>
      </c>
      <c r="G793" s="198">
        <v>0.88467383698343227</v>
      </c>
      <c r="H793" s="197">
        <v>138.61518410566129</v>
      </c>
      <c r="I793" s="197">
        <v>-0.75829911079253309</v>
      </c>
      <c r="J793" s="198">
        <v>0.90026110003088333</v>
      </c>
    </row>
    <row r="794" spans="1:10">
      <c r="A794" s="196">
        <v>1</v>
      </c>
      <c r="B794">
        <v>8</v>
      </c>
      <c r="C794" s="196">
        <v>17</v>
      </c>
      <c r="D794" s="196">
        <v>54</v>
      </c>
      <c r="E794" s="197">
        <v>97.708441713953874</v>
      </c>
      <c r="F794" s="197">
        <v>-0.13371548936264946</v>
      </c>
      <c r="G794" s="198">
        <v>0.71837456184446791</v>
      </c>
      <c r="H794" s="197">
        <v>94.419150212415488</v>
      </c>
      <c r="I794" s="197">
        <v>-3.2892915015383863</v>
      </c>
      <c r="J794" s="198">
        <v>8.3889749585504599E-3</v>
      </c>
    </row>
    <row r="795" spans="1:10">
      <c r="A795" s="196">
        <v>1</v>
      </c>
      <c r="B795">
        <v>8</v>
      </c>
      <c r="C795" s="196">
        <v>17</v>
      </c>
      <c r="D795" s="196">
        <v>55</v>
      </c>
      <c r="E795" s="197">
        <v>98.412265129643188</v>
      </c>
      <c r="F795" s="197">
        <v>-0.13371548936264946</v>
      </c>
      <c r="G795" s="198">
        <v>0.71837456184446791</v>
      </c>
      <c r="H795" s="197">
        <v>97.830316211487528</v>
      </c>
      <c r="I795" s="197">
        <v>-0.59133779452086821</v>
      </c>
      <c r="J795" s="198">
        <v>0.2805478500173223</v>
      </c>
    </row>
    <row r="796" spans="1:10">
      <c r="A796" s="196">
        <v>1</v>
      </c>
      <c r="B796">
        <v>8</v>
      </c>
      <c r="C796" s="196">
        <v>17</v>
      </c>
      <c r="D796" s="196">
        <v>56</v>
      </c>
      <c r="E796" s="197">
        <v>34.616355205085924</v>
      </c>
      <c r="F796" s="197">
        <v>-2.2038822730727579E-2</v>
      </c>
      <c r="G796" s="198">
        <v>0.93889109654003289</v>
      </c>
      <c r="H796" s="197">
        <v>33.237162822465329</v>
      </c>
      <c r="I796" s="197">
        <v>-1.3791923826205945</v>
      </c>
      <c r="J796" s="198">
        <v>3.7691258289461378E-3</v>
      </c>
    </row>
    <row r="797" spans="1:10">
      <c r="A797" s="196">
        <v>1</v>
      </c>
      <c r="B797">
        <v>8</v>
      </c>
      <c r="C797" s="196">
        <v>18</v>
      </c>
      <c r="D797" s="196">
        <v>51</v>
      </c>
      <c r="E797" s="197">
        <v>17.2282777779897</v>
      </c>
      <c r="F797" s="197">
        <v>0.5641446064435216</v>
      </c>
      <c r="G797" s="198">
        <v>2.7610535089492537E-2</v>
      </c>
      <c r="H797" s="197">
        <v>18.2661959779897</v>
      </c>
      <c r="I797" s="197">
        <v>1.0379182</v>
      </c>
      <c r="J797" s="198">
        <v>8.8140951763893561E-4</v>
      </c>
    </row>
    <row r="798" spans="1:10">
      <c r="A798" s="196">
        <v>1</v>
      </c>
      <c r="B798">
        <v>8</v>
      </c>
      <c r="C798" s="196">
        <v>18</v>
      </c>
      <c r="D798" s="196">
        <v>52</v>
      </c>
      <c r="E798" s="197">
        <v>93.291666666666657</v>
      </c>
      <c r="F798" s="197">
        <v>-7.2855394883203601</v>
      </c>
      <c r="G798" s="198">
        <v>0.43816006780013228</v>
      </c>
      <c r="H798" s="197">
        <v>104.23473351078934</v>
      </c>
      <c r="I798" s="197">
        <v>11.729951061140884</v>
      </c>
      <c r="J798" s="198">
        <v>0.14726950781849213</v>
      </c>
    </row>
    <row r="799" spans="1:10">
      <c r="A799" s="196">
        <v>1</v>
      </c>
      <c r="B799">
        <v>8</v>
      </c>
      <c r="C799" s="196">
        <v>18</v>
      </c>
      <c r="D799" s="196">
        <v>54</v>
      </c>
      <c r="E799" s="197">
        <v>97.543134601001015</v>
      </c>
      <c r="F799" s="197">
        <v>3.1582506934643733</v>
      </c>
      <c r="G799" s="198">
        <v>0.49272960489363327</v>
      </c>
      <c r="H799" s="197">
        <v>97.322461573753444</v>
      </c>
      <c r="I799" s="197">
        <v>-0.22067302724757099</v>
      </c>
      <c r="J799" s="198">
        <v>0.68235277056210264</v>
      </c>
    </row>
    <row r="800" spans="1:10">
      <c r="A800" s="196">
        <v>1</v>
      </c>
      <c r="B800">
        <v>8</v>
      </c>
      <c r="C800" s="196">
        <v>18</v>
      </c>
      <c r="D800" s="196">
        <v>55</v>
      </c>
      <c r="E800" s="197">
        <v>72.799791106054343</v>
      </c>
      <c r="F800" s="197">
        <v>3.1582506934643733</v>
      </c>
      <c r="G800" s="198">
        <v>0.49272960489363327</v>
      </c>
      <c r="H800" s="197">
        <v>67.72961966320733</v>
      </c>
      <c r="I800" s="197">
        <v>-6.9645411969119815</v>
      </c>
      <c r="J800" s="198">
        <v>0.12980069432022512</v>
      </c>
    </row>
    <row r="801" spans="1:10">
      <c r="A801" s="196">
        <v>1</v>
      </c>
      <c r="B801">
        <v>8</v>
      </c>
      <c r="C801" s="196">
        <v>18</v>
      </c>
      <c r="D801" s="196">
        <v>56</v>
      </c>
      <c r="E801" s="197">
        <v>6.3823335290910093</v>
      </c>
      <c r="F801" s="197">
        <v>0.23423396391203549</v>
      </c>
      <c r="G801" s="198">
        <v>0.56371654069345245</v>
      </c>
      <c r="H801" s="197">
        <v>5.8987836232865272</v>
      </c>
      <c r="I801" s="197">
        <v>-0.48354990580448209</v>
      </c>
      <c r="J801" s="198">
        <v>0.1136431317604506</v>
      </c>
    </row>
    <row r="802" spans="1:10">
      <c r="A802" s="196">
        <v>1</v>
      </c>
      <c r="B802">
        <v>8</v>
      </c>
      <c r="C802" s="196">
        <v>19</v>
      </c>
      <c r="D802" s="196">
        <v>51</v>
      </c>
      <c r="E802" s="197">
        <v>19.088387097225393</v>
      </c>
      <c r="F802" s="197">
        <v>1.075371200841851</v>
      </c>
      <c r="G802" s="198">
        <v>3.883899461769462E-4</v>
      </c>
      <c r="H802" s="197">
        <v>19.714885730558724</v>
      </c>
      <c r="I802" s="197">
        <v>0.62649863333333045</v>
      </c>
      <c r="J802" s="198">
        <v>7.438907234082813E-2</v>
      </c>
    </row>
    <row r="803" spans="1:10">
      <c r="A803" s="196">
        <v>1</v>
      </c>
      <c r="B803">
        <v>8</v>
      </c>
      <c r="C803" s="196">
        <v>19</v>
      </c>
      <c r="D803" s="196">
        <v>52</v>
      </c>
      <c r="E803" s="197">
        <v>102.99600000000001</v>
      </c>
      <c r="F803" s="197">
        <v>3.4832480533926575</v>
      </c>
      <c r="G803" s="198">
        <v>0.75621915967431508</v>
      </c>
      <c r="H803" s="197">
        <v>104.72984119955508</v>
      </c>
      <c r="I803" s="197">
        <v>1.6834063454455201</v>
      </c>
      <c r="J803" s="198">
        <v>0.88442958914193459</v>
      </c>
    </row>
    <row r="804" spans="1:10">
      <c r="A804" s="196">
        <v>1</v>
      </c>
      <c r="B804">
        <v>8</v>
      </c>
      <c r="C804" s="196">
        <v>19</v>
      </c>
      <c r="D804" s="196">
        <v>54</v>
      </c>
      <c r="E804" s="197">
        <v>90.102002054601812</v>
      </c>
      <c r="F804" s="197">
        <v>-1.9449760435130878</v>
      </c>
      <c r="G804" s="198">
        <v>0.72235383751809312</v>
      </c>
      <c r="H804" s="197">
        <v>94.269540546482702</v>
      </c>
      <c r="I804" s="197">
        <v>4.1675384918808902</v>
      </c>
      <c r="J804" s="198">
        <v>6.8756136470439613E-2</v>
      </c>
    </row>
    <row r="805" spans="1:10">
      <c r="A805" s="196">
        <v>1</v>
      </c>
      <c r="B805">
        <v>8</v>
      </c>
      <c r="C805" s="196">
        <v>19</v>
      </c>
      <c r="D805" s="196">
        <v>55</v>
      </c>
      <c r="E805" s="197">
        <v>63.206911425355173</v>
      </c>
      <c r="F805" s="197">
        <v>-1.9449760435130878</v>
      </c>
      <c r="G805" s="198">
        <v>0.72235383751809312</v>
      </c>
      <c r="H805" s="197">
        <v>62.812190459451934</v>
      </c>
      <c r="I805" s="197">
        <v>-0.62449019735664646</v>
      </c>
      <c r="J805" s="198">
        <v>0.93630837154252322</v>
      </c>
    </row>
    <row r="806" spans="1:10">
      <c r="A806" s="196">
        <v>1</v>
      </c>
      <c r="B806">
        <v>8</v>
      </c>
      <c r="C806" s="196">
        <v>19</v>
      </c>
      <c r="D806" s="196">
        <v>56</v>
      </c>
      <c r="E806" s="197">
        <v>4.026210936813154</v>
      </c>
      <c r="F806" s="197">
        <v>0.14775099582940285</v>
      </c>
      <c r="G806" s="198">
        <v>0.69096123842655544</v>
      </c>
      <c r="H806" s="197">
        <v>4.1906890147142466</v>
      </c>
      <c r="I806" s="197">
        <v>0.16447807790109215</v>
      </c>
      <c r="J806" s="198">
        <v>0.64443485779592113</v>
      </c>
    </row>
    <row r="807" spans="1:10">
      <c r="A807" s="196">
        <v>1</v>
      </c>
      <c r="B807">
        <v>12</v>
      </c>
      <c r="C807" s="196">
        <v>13</v>
      </c>
      <c r="D807" s="196">
        <v>51</v>
      </c>
      <c r="E807" s="197">
        <v>20.087728491124281</v>
      </c>
      <c r="F807" s="197">
        <v>1.00782679065895</v>
      </c>
      <c r="G807" s="198">
        <v>7.8227683122391304E-5</v>
      </c>
      <c r="H807" s="197">
        <v>21.086189341124285</v>
      </c>
      <c r="I807" s="197">
        <v>0.99846085000000429</v>
      </c>
      <c r="J807" s="198">
        <v>2.4460589268263857E-3</v>
      </c>
    </row>
    <row r="808" spans="1:10">
      <c r="A808" s="196">
        <v>1</v>
      </c>
      <c r="B808">
        <v>12</v>
      </c>
      <c r="C808" s="196">
        <v>13</v>
      </c>
      <c r="D808" s="196">
        <v>52</v>
      </c>
      <c r="E808" s="197">
        <v>125.02</v>
      </c>
      <c r="F808" s="197">
        <v>-4.8728587319243601</v>
      </c>
      <c r="G808" s="198">
        <v>0.6199050725006181</v>
      </c>
      <c r="H808" s="197">
        <v>119.34433012156293</v>
      </c>
      <c r="I808" s="197">
        <v>-4.5398095332243367</v>
      </c>
      <c r="J808" s="198">
        <v>0.61222560609379983</v>
      </c>
    </row>
    <row r="809" spans="1:10">
      <c r="A809" s="196">
        <v>1</v>
      </c>
      <c r="B809">
        <v>12</v>
      </c>
      <c r="C809" s="196">
        <v>13</v>
      </c>
      <c r="D809" s="196">
        <v>54</v>
      </c>
      <c r="E809" s="197">
        <v>89.35708193229695</v>
      </c>
      <c r="F809" s="197">
        <v>-7.2019737322419508E-2</v>
      </c>
      <c r="G809" s="198">
        <v>0.92912751492333789</v>
      </c>
      <c r="H809" s="197">
        <v>85.518478597989159</v>
      </c>
      <c r="I809" s="197">
        <v>-3.8386033343077912</v>
      </c>
      <c r="J809" s="198">
        <v>2.5107758663562095E-2</v>
      </c>
    </row>
    <row r="810" spans="1:10">
      <c r="A810" s="196">
        <v>1</v>
      </c>
      <c r="B810">
        <v>12</v>
      </c>
      <c r="C810" s="196">
        <v>13</v>
      </c>
      <c r="D810" s="196">
        <v>55</v>
      </c>
      <c r="E810" s="197">
        <v>97.825226918232104</v>
      </c>
      <c r="F810" s="197">
        <v>-7.2019737322419508E-2</v>
      </c>
      <c r="G810" s="198">
        <v>0.92912751492333789</v>
      </c>
      <c r="H810" s="197">
        <v>98.683644938464809</v>
      </c>
      <c r="I810" s="197">
        <v>0.87750169079620111</v>
      </c>
      <c r="J810" s="198">
        <v>0.29067202360574251</v>
      </c>
    </row>
    <row r="811" spans="1:10">
      <c r="A811" s="196">
        <v>1</v>
      </c>
      <c r="B811">
        <v>12</v>
      </c>
      <c r="C811" s="196">
        <v>13</v>
      </c>
      <c r="D811" s="196">
        <v>56</v>
      </c>
      <c r="E811" s="197">
        <v>6.1228445848040485</v>
      </c>
      <c r="F811" s="197">
        <v>-0.55301356980659533</v>
      </c>
      <c r="G811" s="198">
        <v>7.8539339435289843E-4</v>
      </c>
      <c r="H811" s="197">
        <v>5.9231411422363456</v>
      </c>
      <c r="I811" s="197">
        <v>-0.19970344256770289</v>
      </c>
      <c r="J811" s="198">
        <v>0.15061477149234426</v>
      </c>
    </row>
    <row r="812" spans="1:10">
      <c r="A812" s="196">
        <v>1</v>
      </c>
      <c r="B812">
        <v>12</v>
      </c>
      <c r="C812" s="196">
        <v>14</v>
      </c>
      <c r="D812" s="196">
        <v>51</v>
      </c>
      <c r="E812" s="197">
        <v>11.280259856686335</v>
      </c>
      <c r="F812" s="197">
        <v>0.18704459583995137</v>
      </c>
      <c r="G812" s="198">
        <v>0.38982964656929586</v>
      </c>
      <c r="H812" s="197">
        <v>12.949048023353003</v>
      </c>
      <c r="I812" s="197">
        <v>1.6687881666666673</v>
      </c>
      <c r="J812" s="198">
        <v>2.5577990965392123E-6</v>
      </c>
    </row>
    <row r="813" spans="1:10">
      <c r="A813" s="196">
        <v>1</v>
      </c>
      <c r="B813">
        <v>12</v>
      </c>
      <c r="C813" s="196">
        <v>14</v>
      </c>
      <c r="D813" s="196">
        <v>52</v>
      </c>
      <c r="E813" s="197">
        <v>97.362499999999997</v>
      </c>
      <c r="F813" s="197">
        <v>12.790044493882093</v>
      </c>
      <c r="G813" s="198">
        <v>0.14858321991078727</v>
      </c>
      <c r="H813" s="197">
        <v>92.712994289661012</v>
      </c>
      <c r="I813" s="197">
        <v>-4.7754584263335325</v>
      </c>
      <c r="J813" s="198">
        <v>0.61267574324633467</v>
      </c>
    </row>
    <row r="814" spans="1:10">
      <c r="A814" s="196">
        <v>1</v>
      </c>
      <c r="B814">
        <v>12</v>
      </c>
      <c r="C814" s="196">
        <v>14</v>
      </c>
      <c r="D814" s="196">
        <v>54</v>
      </c>
      <c r="E814" s="197">
        <v>96.199438563494354</v>
      </c>
      <c r="F814" s="197">
        <v>4.6405262264447824</v>
      </c>
      <c r="G814" s="198">
        <v>4.1930433225974499E-2</v>
      </c>
      <c r="H814" s="197">
        <v>99.192959044979801</v>
      </c>
      <c r="I814" s="197">
        <v>2.9935204814854472</v>
      </c>
      <c r="J814" s="198">
        <v>4.1328064449812785E-3</v>
      </c>
    </row>
    <row r="815" spans="1:10">
      <c r="A815" s="196">
        <v>1</v>
      </c>
      <c r="B815">
        <v>12</v>
      </c>
      <c r="C815" s="196">
        <v>14</v>
      </c>
      <c r="D815" s="196">
        <v>55</v>
      </c>
      <c r="E815" s="197">
        <v>88.917015434329997</v>
      </c>
      <c r="F815" s="197">
        <v>4.6405262264447824</v>
      </c>
      <c r="G815" s="198">
        <v>4.1930433225974499E-2</v>
      </c>
      <c r="H815" s="197">
        <v>88.00955889092269</v>
      </c>
      <c r="I815" s="197">
        <v>-1.0205656802296941</v>
      </c>
      <c r="J815" s="198">
        <v>0.62143614315880447</v>
      </c>
    </row>
    <row r="816" spans="1:10">
      <c r="A816" s="196">
        <v>1</v>
      </c>
      <c r="B816">
        <v>12</v>
      </c>
      <c r="C816" s="196">
        <v>14</v>
      </c>
      <c r="D816" s="196">
        <v>56</v>
      </c>
      <c r="E816" s="197">
        <v>5.9841263479158782</v>
      </c>
      <c r="F816" s="197">
        <v>0.341969203417964</v>
      </c>
      <c r="G816" s="198">
        <v>2.6447758644833484E-2</v>
      </c>
      <c r="H816" s="197">
        <v>6.1026736421578551</v>
      </c>
      <c r="I816" s="197">
        <v>0.11854729424197696</v>
      </c>
      <c r="J816" s="198">
        <v>0.45202773048073064</v>
      </c>
    </row>
    <row r="817" spans="1:10">
      <c r="A817" s="196">
        <v>1</v>
      </c>
      <c r="B817">
        <v>12</v>
      </c>
      <c r="C817" s="196">
        <v>15</v>
      </c>
      <c r="D817" s="196">
        <v>51</v>
      </c>
      <c r="E817" s="197">
        <v>2.0117083353414711</v>
      </c>
      <c r="F817" s="197">
        <v>1.2932656689166802</v>
      </c>
      <c r="G817" s="198">
        <v>3.1107881117431572E-2</v>
      </c>
      <c r="H817" s="197">
        <v>3.1158098353414712</v>
      </c>
      <c r="I817" s="197">
        <v>1.1041015000000001</v>
      </c>
      <c r="J817" s="198">
        <v>1.9608121916568248E-2</v>
      </c>
    </row>
    <row r="818" spans="1:10">
      <c r="A818" s="196">
        <v>1</v>
      </c>
      <c r="B818">
        <v>12</v>
      </c>
      <c r="C818" s="196">
        <v>15</v>
      </c>
      <c r="D818" s="196">
        <v>52</v>
      </c>
      <c r="E818" s="197">
        <v>41.889583333333334</v>
      </c>
      <c r="F818" s="197">
        <v>1.4169911012235801</v>
      </c>
      <c r="G818" s="198">
        <v>0.72057067809250275</v>
      </c>
      <c r="H818" s="197">
        <v>38.816805232922661</v>
      </c>
      <c r="I818" s="197">
        <v>-7.3354229283191046</v>
      </c>
      <c r="J818" s="198">
        <v>0.50402451798020942</v>
      </c>
    </row>
    <row r="819" spans="1:10">
      <c r="A819" s="196">
        <v>1</v>
      </c>
      <c r="B819">
        <v>12</v>
      </c>
      <c r="C819" s="196">
        <v>15</v>
      </c>
      <c r="D819" s="196">
        <v>54</v>
      </c>
      <c r="E819" s="197">
        <v>85.783781706591284</v>
      </c>
      <c r="F819" s="197">
        <v>3.9287766043607162</v>
      </c>
      <c r="G819" s="198">
        <v>0.23835369125383976</v>
      </c>
      <c r="H819" s="197">
        <v>87.653592280168468</v>
      </c>
      <c r="I819" s="197">
        <v>1.8698105735771833</v>
      </c>
      <c r="J819" s="198">
        <v>0.21583756135325372</v>
      </c>
    </row>
    <row r="820" spans="1:10">
      <c r="A820" s="196">
        <v>1</v>
      </c>
      <c r="B820">
        <v>12</v>
      </c>
      <c r="C820" s="196">
        <v>15</v>
      </c>
      <c r="D820" s="196">
        <v>55</v>
      </c>
      <c r="E820" s="197">
        <v>73.656546705800125</v>
      </c>
      <c r="F820" s="197">
        <v>3.9287766043607162</v>
      </c>
      <c r="G820" s="198">
        <v>0.23835369125383976</v>
      </c>
      <c r="H820" s="197">
        <v>72.203987741890771</v>
      </c>
      <c r="I820" s="197">
        <v>-1.9720704117601235</v>
      </c>
      <c r="J820" s="198">
        <v>0.56451123794014024</v>
      </c>
    </row>
    <row r="821" spans="1:10">
      <c r="A821" s="196">
        <v>1</v>
      </c>
      <c r="B821">
        <v>12</v>
      </c>
      <c r="C821" s="196">
        <v>15</v>
      </c>
      <c r="D821" s="196">
        <v>56</v>
      </c>
      <c r="E821" s="197">
        <v>3.1620579834617994</v>
      </c>
      <c r="F821" s="197">
        <v>0.20927330343160624</v>
      </c>
      <c r="G821" s="198">
        <v>0.21384107655539852</v>
      </c>
      <c r="H821" s="197">
        <v>3.1741275859973892</v>
      </c>
      <c r="I821" s="197">
        <v>1.2069602535589752E-2</v>
      </c>
      <c r="J821" s="198">
        <v>0.93615143872788975</v>
      </c>
    </row>
    <row r="822" spans="1:10">
      <c r="A822" s="196">
        <v>1</v>
      </c>
      <c r="B822">
        <v>12</v>
      </c>
      <c r="C822" s="196">
        <v>16</v>
      </c>
      <c r="D822" s="196">
        <v>51</v>
      </c>
      <c r="E822" s="197">
        <v>-3.0728454676181345</v>
      </c>
      <c r="F822" s="197">
        <v>0.40159011529975308</v>
      </c>
      <c r="G822" s="198">
        <v>0.41214309424169648</v>
      </c>
      <c r="H822" s="197">
        <v>-1.4137662549199208</v>
      </c>
      <c r="I822" s="197">
        <v>1.2</v>
      </c>
      <c r="J822" s="198">
        <v>0.01</v>
      </c>
    </row>
    <row r="823" spans="1:10">
      <c r="A823" s="196">
        <v>1</v>
      </c>
      <c r="B823">
        <v>12</v>
      </c>
      <c r="C823" s="196">
        <v>16</v>
      </c>
      <c r="D823" s="196">
        <v>52</v>
      </c>
      <c r="E823" s="197">
        <v>104.74708333333334</v>
      </c>
      <c r="F823" s="197">
        <v>0.66065072302558381</v>
      </c>
      <c r="G823" s="198">
        <v>0.93226443990153463</v>
      </c>
      <c r="H823" s="197">
        <v>118.38847938588658</v>
      </c>
      <c r="I823" s="197">
        <v>13.023175078911429</v>
      </c>
      <c r="J823" s="198">
        <v>6.0001954884184146E-2</v>
      </c>
    </row>
    <row r="824" spans="1:10">
      <c r="A824" s="196">
        <v>1</v>
      </c>
      <c r="B824">
        <v>12</v>
      </c>
      <c r="C824" s="196">
        <v>16</v>
      </c>
      <c r="D824" s="196">
        <v>54</v>
      </c>
      <c r="E824" s="197">
        <v>90.172598994340007</v>
      </c>
      <c r="F824" s="197">
        <v>-1.1906004995687292</v>
      </c>
      <c r="G824" s="198">
        <v>0.19273226529817966</v>
      </c>
      <c r="H824" s="197">
        <v>89.10434747301656</v>
      </c>
      <c r="I824" s="197">
        <v>-1.0682515213234467</v>
      </c>
      <c r="J824" s="198">
        <v>0.53434741292704135</v>
      </c>
    </row>
    <row r="825" spans="1:10">
      <c r="A825" s="196">
        <v>1</v>
      </c>
      <c r="B825">
        <v>12</v>
      </c>
      <c r="C825" s="196">
        <v>16</v>
      </c>
      <c r="D825" s="196">
        <v>55</v>
      </c>
      <c r="E825" s="197">
        <v>95.330602761235383</v>
      </c>
      <c r="F825" s="197">
        <v>-1.1906004995687292</v>
      </c>
      <c r="G825" s="198">
        <v>0.19273226529817966</v>
      </c>
      <c r="H825" s="197">
        <v>95.140329445360678</v>
      </c>
      <c r="I825" s="197">
        <v>-0.19959311109283301</v>
      </c>
      <c r="J825" s="198">
        <v>0.67397387405841669</v>
      </c>
    </row>
    <row r="826" spans="1:10">
      <c r="A826" s="196">
        <v>1</v>
      </c>
      <c r="B826">
        <v>12</v>
      </c>
      <c r="C826" s="196">
        <v>16</v>
      </c>
      <c r="D826" s="196">
        <v>56</v>
      </c>
      <c r="E826" s="197">
        <v>24.900588999551058</v>
      </c>
      <c r="F826" s="197">
        <v>0.34926051843834477</v>
      </c>
      <c r="G826" s="198">
        <v>0.66255868070958623</v>
      </c>
      <c r="H826" s="197">
        <v>24.535525442080193</v>
      </c>
      <c r="I826" s="197">
        <v>0.34926051843834477</v>
      </c>
      <c r="J826" s="198">
        <v>0.66255868070958623</v>
      </c>
    </row>
    <row r="827" spans="1:10">
      <c r="A827" s="196">
        <v>1</v>
      </c>
      <c r="B827">
        <v>12</v>
      </c>
      <c r="C827" s="196">
        <v>17</v>
      </c>
      <c r="D827" s="196">
        <v>51</v>
      </c>
      <c r="E827" s="197">
        <v>8.7015751202284317</v>
      </c>
      <c r="F827" s="197">
        <v>0.53292763680477451</v>
      </c>
      <c r="G827" s="198">
        <v>5.2778207919173717E-2</v>
      </c>
      <c r="H827" s="197">
        <v>9.5627101646728754</v>
      </c>
      <c r="I827" s="197">
        <v>0.86113504444444366</v>
      </c>
      <c r="J827" s="198">
        <v>4.1949044560043097E-4</v>
      </c>
    </row>
    <row r="828" spans="1:10">
      <c r="A828" s="196">
        <v>1</v>
      </c>
      <c r="B828">
        <v>12</v>
      </c>
      <c r="C828" s="196">
        <v>17</v>
      </c>
      <c r="D828" s="196">
        <v>52</v>
      </c>
      <c r="E828" s="197">
        <v>121.86458333333333</v>
      </c>
      <c r="F828" s="197">
        <v>1.509315906562847</v>
      </c>
      <c r="G828" s="198">
        <v>0.83099743303702822</v>
      </c>
      <c r="H828" s="197">
        <v>121.23506788280544</v>
      </c>
      <c r="I828" s="197">
        <v>-0.5165696491211017</v>
      </c>
      <c r="J828" s="198">
        <v>0.94156970611692736</v>
      </c>
    </row>
    <row r="829" spans="1:10">
      <c r="A829" s="196">
        <v>1</v>
      </c>
      <c r="B829">
        <v>12</v>
      </c>
      <c r="C829" s="196">
        <v>17</v>
      </c>
      <c r="D829" s="196">
        <v>54</v>
      </c>
      <c r="E829" s="197">
        <v>96.462088368086967</v>
      </c>
      <c r="F829" s="197">
        <v>5.9228491628322321E-3</v>
      </c>
      <c r="G829" s="198">
        <v>0.99304770849384028</v>
      </c>
      <c r="H829" s="197">
        <v>92.030089795713678</v>
      </c>
      <c r="I829" s="197">
        <v>-4.4319985723732884</v>
      </c>
      <c r="J829" s="198">
        <v>8.4250550259945068E-4</v>
      </c>
    </row>
    <row r="830" spans="1:10">
      <c r="A830" s="196">
        <v>1</v>
      </c>
      <c r="B830">
        <v>12</v>
      </c>
      <c r="C830" s="196">
        <v>17</v>
      </c>
      <c r="D830" s="196">
        <v>55</v>
      </c>
      <c r="E830" s="197">
        <v>97.600296065063318</v>
      </c>
      <c r="F830" s="197">
        <v>5.9228491628322321E-3</v>
      </c>
      <c r="G830" s="198">
        <v>0.99304770849384028</v>
      </c>
      <c r="H830" s="197">
        <v>97.125896123438878</v>
      </c>
      <c r="I830" s="197">
        <v>-0.48606403950680144</v>
      </c>
      <c r="J830" s="198">
        <v>0.24764437475418055</v>
      </c>
    </row>
    <row r="831" spans="1:10">
      <c r="A831" s="196">
        <v>1</v>
      </c>
      <c r="B831">
        <v>12</v>
      </c>
      <c r="C831" s="196">
        <v>17</v>
      </c>
      <c r="D831" s="196">
        <v>56</v>
      </c>
      <c r="E831" s="197">
        <v>33.900805665758888</v>
      </c>
      <c r="F831" s="197">
        <v>-9.5537169476951456E-2</v>
      </c>
      <c r="G831" s="198">
        <v>0.82968451377093755</v>
      </c>
      <c r="H831" s="197">
        <v>32.171529899476333</v>
      </c>
      <c r="I831" s="197">
        <v>-1.7292757662825551</v>
      </c>
      <c r="J831" s="198">
        <v>5.5216946327767624E-4</v>
      </c>
    </row>
    <row r="832" spans="1:10">
      <c r="A832" s="196">
        <v>1</v>
      </c>
      <c r="B832">
        <v>12</v>
      </c>
      <c r="C832" s="196">
        <v>18</v>
      </c>
      <c r="D832" s="196">
        <v>51</v>
      </c>
      <c r="E832" s="197">
        <v>18.581972221665914</v>
      </c>
      <c r="F832" s="197">
        <v>0.58667593512395544</v>
      </c>
      <c r="G832" s="198">
        <v>8.3783544145560399E-2</v>
      </c>
      <c r="H832" s="197">
        <v>19.649490888332579</v>
      </c>
      <c r="I832" s="197">
        <v>1.0675186666666647</v>
      </c>
      <c r="J832" s="198">
        <v>3.2403388085953906E-4</v>
      </c>
    </row>
    <row r="833" spans="1:10">
      <c r="A833" s="196">
        <v>1</v>
      </c>
      <c r="B833">
        <v>12</v>
      </c>
      <c r="C833" s="196">
        <v>18</v>
      </c>
      <c r="D833" s="196">
        <v>52</v>
      </c>
      <c r="E833" s="197">
        <v>77.236249999999998</v>
      </c>
      <c r="F833" s="197">
        <v>-10.3575361512792</v>
      </c>
      <c r="G833" s="198">
        <v>0.10796554987742424</v>
      </c>
      <c r="H833" s="197">
        <v>74.015538165768007</v>
      </c>
      <c r="I833" s="197">
        <v>-4.1699484817452817</v>
      </c>
      <c r="J833" s="198">
        <v>0.64592346762946129</v>
      </c>
    </row>
    <row r="834" spans="1:10">
      <c r="A834" s="196">
        <v>1</v>
      </c>
      <c r="B834">
        <v>12</v>
      </c>
      <c r="C834" s="196">
        <v>18</v>
      </c>
      <c r="D834" s="196">
        <v>54</v>
      </c>
      <c r="E834" s="197">
        <v>91.287087941896004</v>
      </c>
      <c r="F834" s="197">
        <v>4.354900089059492</v>
      </c>
      <c r="G834" s="198">
        <v>0.12527052434830921</v>
      </c>
      <c r="H834" s="197">
        <v>88.299200457287611</v>
      </c>
      <c r="I834" s="197">
        <v>-2.9878874846083932</v>
      </c>
      <c r="J834" s="198">
        <v>1.459184630397892E-3</v>
      </c>
    </row>
    <row r="835" spans="1:10">
      <c r="A835" s="196">
        <v>1</v>
      </c>
      <c r="B835">
        <v>12</v>
      </c>
      <c r="C835" s="196">
        <v>18</v>
      </c>
      <c r="D835" s="196">
        <v>55</v>
      </c>
      <c r="E835" s="197">
        <v>80.631637108456459</v>
      </c>
      <c r="F835" s="197">
        <v>4.354900089059492</v>
      </c>
      <c r="G835" s="198">
        <v>0.12527052434830921</v>
      </c>
      <c r="H835" s="197">
        <v>82.752527204502698</v>
      </c>
      <c r="I835" s="197">
        <v>2.630344827543881</v>
      </c>
      <c r="J835" s="198">
        <v>0.58362128269582869</v>
      </c>
    </row>
    <row r="836" spans="1:10">
      <c r="A836" s="196">
        <v>1</v>
      </c>
      <c r="B836">
        <v>12</v>
      </c>
      <c r="C836" s="196">
        <v>18</v>
      </c>
      <c r="D836" s="196">
        <v>56</v>
      </c>
      <c r="E836" s="197">
        <v>6.5718111443731058</v>
      </c>
      <c r="F836" s="197">
        <v>9.2051697331591908E-2</v>
      </c>
      <c r="G836" s="198">
        <v>0.71277373635217489</v>
      </c>
      <c r="H836" s="197">
        <v>6.5310179904023586</v>
      </c>
      <c r="I836" s="197">
        <v>-4.079315397074712E-2</v>
      </c>
      <c r="J836" s="198">
        <v>0.89786824049810787</v>
      </c>
    </row>
    <row r="837" spans="1:10">
      <c r="A837" s="196">
        <v>1</v>
      </c>
      <c r="B837">
        <v>12</v>
      </c>
      <c r="C837" s="196">
        <v>19</v>
      </c>
      <c r="D837" s="196">
        <v>51</v>
      </c>
      <c r="E837" s="197">
        <v>20.484489242594737</v>
      </c>
      <c r="F837" s="197">
        <v>1.0752502698979438</v>
      </c>
      <c r="G837" s="198">
        <v>7.7918416150310672E-4</v>
      </c>
      <c r="H837" s="197">
        <v>21.289353809261399</v>
      </c>
      <c r="I837" s="197">
        <v>0.80486456666666228</v>
      </c>
      <c r="J837" s="198">
        <v>2.0581389943858216E-2</v>
      </c>
    </row>
    <row r="838" spans="1:10">
      <c r="A838" s="196">
        <v>1</v>
      </c>
      <c r="B838">
        <v>12</v>
      </c>
      <c r="C838" s="196">
        <v>19</v>
      </c>
      <c r="D838" s="196">
        <v>52</v>
      </c>
      <c r="E838" s="197">
        <v>70.023750000000007</v>
      </c>
      <c r="F838" s="197">
        <v>-3.0908509454949935</v>
      </c>
      <c r="G838" s="198">
        <v>0.6601972965095223</v>
      </c>
      <c r="H838" s="197">
        <v>65.194548001785776</v>
      </c>
      <c r="I838" s="197">
        <v>-6.8965201066984196</v>
      </c>
      <c r="J838" s="198">
        <v>0.5372298693312334</v>
      </c>
    </row>
    <row r="839" spans="1:10">
      <c r="A839" s="196">
        <v>1</v>
      </c>
      <c r="B839">
        <v>12</v>
      </c>
      <c r="C839" s="196">
        <v>19</v>
      </c>
      <c r="D839" s="196">
        <v>54</v>
      </c>
      <c r="E839" s="197">
        <v>95.086995392351497</v>
      </c>
      <c r="F839" s="197">
        <v>1.4745734759588887</v>
      </c>
      <c r="G839" s="198">
        <v>0.6299918219839713</v>
      </c>
      <c r="H839" s="197">
        <v>98.579054927506249</v>
      </c>
      <c r="I839" s="197">
        <v>3.4920595351547519</v>
      </c>
      <c r="J839" s="198">
        <v>3.540963358963118E-2</v>
      </c>
    </row>
    <row r="840" spans="1:10">
      <c r="A840" s="196">
        <v>1</v>
      </c>
      <c r="B840">
        <v>12</v>
      </c>
      <c r="C840" s="196">
        <v>19</v>
      </c>
      <c r="D840" s="196">
        <v>55</v>
      </c>
      <c r="E840" s="197">
        <v>78.839881128905986</v>
      </c>
      <c r="F840" s="197">
        <v>1.4745734759588887</v>
      </c>
      <c r="G840" s="198">
        <v>0.6299918219839713</v>
      </c>
      <c r="H840" s="197">
        <v>81.487212152087608</v>
      </c>
      <c r="I840" s="197">
        <v>3.3578577051037737</v>
      </c>
      <c r="J840" s="198">
        <v>0.48233300990160721</v>
      </c>
    </row>
    <row r="841" spans="1:10">
      <c r="A841" s="196">
        <v>1</v>
      </c>
      <c r="B841">
        <v>12</v>
      </c>
      <c r="C841" s="196">
        <v>19</v>
      </c>
      <c r="D841" s="196">
        <v>56</v>
      </c>
      <c r="E841" s="197">
        <v>5.2599497695026987</v>
      </c>
      <c r="F841" s="197">
        <v>0.22278270397062583</v>
      </c>
      <c r="G841" s="198">
        <v>0.31536988264183008</v>
      </c>
      <c r="H841" s="197">
        <v>5.6202087835511554</v>
      </c>
      <c r="I841" s="197">
        <v>0.36025901404845673</v>
      </c>
      <c r="J841" s="198">
        <v>0.20227717482864471</v>
      </c>
    </row>
    <row r="842" spans="1:10">
      <c r="A842" s="196">
        <v>1</v>
      </c>
      <c r="B842">
        <v>20</v>
      </c>
      <c r="C842" s="196">
        <v>13</v>
      </c>
      <c r="D842" s="196">
        <v>51</v>
      </c>
      <c r="E842" s="197">
        <v>19.523440848883755</v>
      </c>
      <c r="F842" s="197">
        <v>0.11119152607153024</v>
      </c>
      <c r="G842" s="198">
        <v>2.9023033156184432E-7</v>
      </c>
      <c r="H842" s="197">
        <v>20.540160715550421</v>
      </c>
      <c r="I842" s="197">
        <v>1.0167198666666657</v>
      </c>
      <c r="J842" s="198">
        <v>2.5836629746736235E-3</v>
      </c>
    </row>
    <row r="843" spans="1:10">
      <c r="A843" s="196">
        <v>1</v>
      </c>
      <c r="B843">
        <v>20</v>
      </c>
      <c r="C843" s="196">
        <v>13</v>
      </c>
      <c r="D843" s="196">
        <v>52</v>
      </c>
      <c r="E843" s="197">
        <v>170.82266700162242</v>
      </c>
      <c r="F843" s="197">
        <v>27.110167369432993</v>
      </c>
      <c r="G843" s="198">
        <v>5.9587974268128029E-2</v>
      </c>
      <c r="H843" s="197">
        <v>155.06401775204722</v>
      </c>
      <c r="I843" s="197">
        <v>-9.2251511618335389</v>
      </c>
      <c r="J843" s="198">
        <v>0.33772787617591093</v>
      </c>
    </row>
    <row r="844" spans="1:10">
      <c r="A844" s="196">
        <v>1</v>
      </c>
      <c r="B844">
        <v>20</v>
      </c>
      <c r="C844" s="196">
        <v>13</v>
      </c>
      <c r="D844" s="196">
        <v>54</v>
      </c>
      <c r="E844" s="197">
        <v>93.306014005567576</v>
      </c>
      <c r="F844" s="197">
        <v>-1.9397095201243864</v>
      </c>
      <c r="G844" s="198">
        <v>9.7542773850446365E-2</v>
      </c>
      <c r="H844" s="197">
        <v>91.81997784750142</v>
      </c>
      <c r="I844" s="197">
        <v>-1.4860361580661561</v>
      </c>
      <c r="J844" s="198">
        <v>0.27580889651986462</v>
      </c>
    </row>
    <row r="845" spans="1:10">
      <c r="A845" s="196">
        <v>1</v>
      </c>
      <c r="B845">
        <v>20</v>
      </c>
      <c r="C845" s="196">
        <v>13</v>
      </c>
      <c r="D845" s="196">
        <v>55</v>
      </c>
      <c r="E845" s="197">
        <v>95.237310174478154</v>
      </c>
      <c r="F845" s="197">
        <v>-1.9397095201243864</v>
      </c>
      <c r="G845" s="198">
        <v>9.7542773850446365E-2</v>
      </c>
      <c r="H845" s="197">
        <v>98.073559979215489</v>
      </c>
      <c r="I845" s="197">
        <v>2.9780868438443053</v>
      </c>
      <c r="J845" s="198">
        <v>2.2653568988119127E-2</v>
      </c>
    </row>
    <row r="846" spans="1:10">
      <c r="A846" s="196">
        <v>1</v>
      </c>
      <c r="B846">
        <v>20</v>
      </c>
      <c r="C846" s="196">
        <v>13</v>
      </c>
      <c r="D846" s="196">
        <v>56</v>
      </c>
      <c r="E846" s="197">
        <v>6.2197514385873651</v>
      </c>
      <c r="F846" s="197">
        <v>-0.49598888403487434</v>
      </c>
      <c r="G846" s="198">
        <v>7.0215111515449767E-6</v>
      </c>
      <c r="H846" s="197">
        <v>6.313214311847843</v>
      </c>
      <c r="I846" s="197">
        <v>9.3462873260477863E-2</v>
      </c>
      <c r="J846" s="198">
        <v>0.45328806024325941</v>
      </c>
    </row>
    <row r="847" spans="1:10">
      <c r="A847" s="196">
        <v>1</v>
      </c>
      <c r="B847">
        <v>20</v>
      </c>
      <c r="C847" s="196">
        <v>14</v>
      </c>
      <c r="D847" s="196">
        <v>51</v>
      </c>
      <c r="E847" s="197">
        <v>11.606274189690533</v>
      </c>
      <c r="F847" s="197">
        <v>0.10601006099820606</v>
      </c>
      <c r="G847" s="198">
        <v>0.63391290068383666</v>
      </c>
      <c r="H847" s="197">
        <v>13.188413923023861</v>
      </c>
      <c r="I847" s="197">
        <v>1.582139733333328</v>
      </c>
      <c r="J847" s="198">
        <v>1.2973726491420383E-5</v>
      </c>
    </row>
    <row r="848" spans="1:10">
      <c r="A848" s="196">
        <v>1</v>
      </c>
      <c r="B848">
        <v>20</v>
      </c>
      <c r="C848" s="196">
        <v>14</v>
      </c>
      <c r="D848" s="196">
        <v>52</v>
      </c>
      <c r="E848" s="197">
        <v>86.155499998076507</v>
      </c>
      <c r="F848" s="197">
        <v>21.684327011766364</v>
      </c>
      <c r="G848" s="198">
        <v>1.8781816384003745E-2</v>
      </c>
      <c r="H848" s="197">
        <v>77.953802347566636</v>
      </c>
      <c r="I848" s="197">
        <v>-9.519644887085537</v>
      </c>
      <c r="J848" s="198">
        <v>0.33437357336491047</v>
      </c>
    </row>
    <row r="849" spans="1:10">
      <c r="A849" s="196">
        <v>1</v>
      </c>
      <c r="B849">
        <v>20</v>
      </c>
      <c r="C849" s="196">
        <v>14</v>
      </c>
      <c r="D849" s="196">
        <v>54</v>
      </c>
      <c r="E849" s="197">
        <v>97.1636645150666</v>
      </c>
      <c r="F849" s="197">
        <v>8.0529525080340996</v>
      </c>
      <c r="G849" s="198">
        <v>3.9205053873371401E-3</v>
      </c>
      <c r="H849" s="197">
        <v>100.77855320878754</v>
      </c>
      <c r="I849" s="197">
        <v>3.6148886937209426</v>
      </c>
      <c r="J849" s="198">
        <v>2.2669323012969558E-3</v>
      </c>
    </row>
    <row r="850" spans="1:10">
      <c r="A850" s="196">
        <v>1</v>
      </c>
      <c r="B850">
        <v>20</v>
      </c>
      <c r="C850" s="196">
        <v>14</v>
      </c>
      <c r="D850" s="196">
        <v>55</v>
      </c>
      <c r="E850" s="197">
        <v>84.949896476516457</v>
      </c>
      <c r="F850" s="197">
        <v>8.0529525080340996</v>
      </c>
      <c r="G850" s="198">
        <v>3.9205053873371401E-3</v>
      </c>
      <c r="H850" s="197">
        <v>84.775022431279837</v>
      </c>
      <c r="I850" s="197">
        <v>-0.20585551306111866</v>
      </c>
      <c r="J850" s="198">
        <v>0.93008742676465495</v>
      </c>
    </row>
    <row r="851" spans="1:10">
      <c r="A851" s="196">
        <v>1</v>
      </c>
      <c r="B851">
        <v>20</v>
      </c>
      <c r="C851" s="196">
        <v>14</v>
      </c>
      <c r="D851" s="196">
        <v>56</v>
      </c>
      <c r="E851" s="197">
        <v>5.7718852066644395</v>
      </c>
      <c r="F851" s="197">
        <v>0.53582887886545383</v>
      </c>
      <c r="G851" s="198">
        <v>4.2117618088888652E-3</v>
      </c>
      <c r="H851" s="197">
        <v>5.9782639410069196</v>
      </c>
      <c r="I851" s="197">
        <v>0.20637873434248011</v>
      </c>
      <c r="J851" s="198">
        <v>0.22557482520717631</v>
      </c>
    </row>
    <row r="852" spans="1:10">
      <c r="A852" s="196">
        <v>1</v>
      </c>
      <c r="B852">
        <v>20</v>
      </c>
      <c r="C852" s="196">
        <v>15</v>
      </c>
      <c r="D852" s="196">
        <v>51</v>
      </c>
      <c r="E852" s="197">
        <v>2.6707777776444952</v>
      </c>
      <c r="F852" s="197">
        <v>1.264738599360431</v>
      </c>
      <c r="G852" s="198">
        <v>1.779843451740944E-2</v>
      </c>
      <c r="H852" s="197">
        <v>3.4434383443111622</v>
      </c>
      <c r="I852" s="197">
        <v>0.77266056666666705</v>
      </c>
      <c r="J852" s="198">
        <v>9.4500009880699065E-2</v>
      </c>
    </row>
    <row r="853" spans="1:10">
      <c r="A853" s="196">
        <v>1</v>
      </c>
      <c r="B853">
        <v>20</v>
      </c>
      <c r="C853" s="196">
        <v>15</v>
      </c>
      <c r="D853" s="196">
        <v>52</v>
      </c>
      <c r="E853" s="197">
        <v>34.09566660821438</v>
      </c>
      <c r="F853" s="197">
        <v>1.9238708768665693</v>
      </c>
      <c r="G853" s="198">
        <v>0.59406403028030208</v>
      </c>
      <c r="H853" s="197">
        <v>31.354959500493187</v>
      </c>
      <c r="I853" s="197">
        <v>-8.0382857423321266</v>
      </c>
      <c r="J853" s="198">
        <v>0.46297189648935799</v>
      </c>
    </row>
    <row r="854" spans="1:10">
      <c r="A854" s="196">
        <v>1</v>
      </c>
      <c r="B854">
        <v>20</v>
      </c>
      <c r="C854" s="196">
        <v>15</v>
      </c>
      <c r="D854" s="196">
        <v>54</v>
      </c>
      <c r="E854" s="197">
        <v>89.547723142041235</v>
      </c>
      <c r="F854" s="197">
        <v>2.0585111157577431</v>
      </c>
      <c r="G854" s="198">
        <v>0.50776430813352036</v>
      </c>
      <c r="H854" s="197">
        <v>88.994752577901323</v>
      </c>
      <c r="I854" s="197">
        <v>-0.55297056413991186</v>
      </c>
      <c r="J854" s="198">
        <v>0.67379690242647872</v>
      </c>
    </row>
    <row r="855" spans="1:10">
      <c r="A855" s="196">
        <v>1</v>
      </c>
      <c r="B855">
        <v>20</v>
      </c>
      <c r="C855" s="196">
        <v>15</v>
      </c>
      <c r="D855" s="196">
        <v>55</v>
      </c>
      <c r="E855" s="197">
        <v>67.352340268106914</v>
      </c>
      <c r="F855" s="197">
        <v>2.0585111157577431</v>
      </c>
      <c r="G855" s="198">
        <v>0.50776430813352036</v>
      </c>
      <c r="H855" s="197">
        <v>65.282218954978191</v>
      </c>
      <c r="I855" s="197">
        <v>-3.0735699827033045</v>
      </c>
      <c r="J855" s="198">
        <v>0.39870789607228718</v>
      </c>
    </row>
    <row r="856" spans="1:10">
      <c r="A856" s="196">
        <v>1</v>
      </c>
      <c r="B856">
        <v>20</v>
      </c>
      <c r="C856" s="196">
        <v>15</v>
      </c>
      <c r="D856" s="196">
        <v>56</v>
      </c>
      <c r="E856" s="197">
        <v>2.9784919431212589</v>
      </c>
      <c r="F856" s="197">
        <v>0.17243802149943604</v>
      </c>
      <c r="G856" s="198">
        <v>0.22075861375642492</v>
      </c>
      <c r="H856" s="197">
        <v>2.8539185410547336</v>
      </c>
      <c r="I856" s="197">
        <v>-0.12457340206652523</v>
      </c>
      <c r="J856" s="198">
        <v>0.42122415196355922</v>
      </c>
    </row>
    <row r="857" spans="1:10">
      <c r="A857" s="196">
        <v>1</v>
      </c>
      <c r="B857">
        <v>20</v>
      </c>
      <c r="C857" s="196">
        <v>16</v>
      </c>
      <c r="D857" s="196">
        <v>51</v>
      </c>
      <c r="E857" s="197">
        <v>-2.0483131173579188</v>
      </c>
      <c r="F857" s="197">
        <v>0.35685044426509765</v>
      </c>
      <c r="G857" s="198">
        <v>0.42465188012065536</v>
      </c>
      <c r="H857" s="197">
        <v>-1.4137662549199208</v>
      </c>
      <c r="I857" s="197">
        <v>1.2</v>
      </c>
      <c r="J857" s="198">
        <v>0.01</v>
      </c>
    </row>
    <row r="858" spans="1:10">
      <c r="A858" s="196">
        <v>1</v>
      </c>
      <c r="B858">
        <v>20</v>
      </c>
      <c r="C858" s="196">
        <v>16</v>
      </c>
      <c r="D858" s="196">
        <v>52</v>
      </c>
      <c r="E858" s="197">
        <v>90.555000049310422</v>
      </c>
      <c r="F858" s="197">
        <v>3.5835818224425964</v>
      </c>
      <c r="G858" s="198">
        <v>0.58006618713303693</v>
      </c>
      <c r="H858" s="197">
        <v>94.302266215304627</v>
      </c>
      <c r="I858" s="197">
        <v>4.1381107216097277</v>
      </c>
      <c r="J858" s="198">
        <v>0.56370173433526705</v>
      </c>
    </row>
    <row r="859" spans="1:10">
      <c r="A859" s="196">
        <v>1</v>
      </c>
      <c r="B859">
        <v>20</v>
      </c>
      <c r="C859" s="196">
        <v>16</v>
      </c>
      <c r="D859" s="196">
        <v>54</v>
      </c>
      <c r="E859" s="197">
        <v>93.106721951608691</v>
      </c>
      <c r="F859" s="197">
        <v>0.1867599747333544</v>
      </c>
      <c r="G859" s="198">
        <v>0.83669716607423084</v>
      </c>
      <c r="H859" s="197">
        <v>91.248820860945642</v>
      </c>
      <c r="I859" s="197">
        <v>-1.8579010906630486</v>
      </c>
      <c r="J859" s="198">
        <v>0.25740820589094549</v>
      </c>
    </row>
    <row r="860" spans="1:10">
      <c r="A860" s="196">
        <v>1</v>
      </c>
      <c r="B860">
        <v>20</v>
      </c>
      <c r="C860" s="196">
        <v>16</v>
      </c>
      <c r="D860" s="196">
        <v>55</v>
      </c>
      <c r="E860" s="197">
        <v>93.677450748768194</v>
      </c>
      <c r="F860" s="197">
        <v>0.1867599747333544</v>
      </c>
      <c r="G860" s="198">
        <v>0.83669716607423084</v>
      </c>
      <c r="H860" s="197">
        <v>93.692787641057578</v>
      </c>
      <c r="I860" s="197">
        <v>1.6372021406210406E-2</v>
      </c>
      <c r="J860" s="198">
        <v>0.97647578180101635</v>
      </c>
    </row>
    <row r="861" spans="1:10">
      <c r="A861" s="196">
        <v>1</v>
      </c>
      <c r="B861">
        <v>20</v>
      </c>
      <c r="C861" s="196">
        <v>16</v>
      </c>
      <c r="D861" s="196">
        <v>56</v>
      </c>
      <c r="E861" s="197">
        <v>25.278711114251244</v>
      </c>
      <c r="F861" s="197">
        <v>0.373414767828051</v>
      </c>
      <c r="G861" s="198">
        <v>0.50743491386199224</v>
      </c>
      <c r="H861" s="197">
        <v>24.731525656864999</v>
      </c>
      <c r="I861" s="197">
        <v>0.373414767828051</v>
      </c>
      <c r="J861" s="198">
        <v>0.50743491386199224</v>
      </c>
    </row>
    <row r="862" spans="1:10">
      <c r="A862" s="196">
        <v>1</v>
      </c>
      <c r="B862">
        <v>20</v>
      </c>
      <c r="C862" s="196">
        <v>17</v>
      </c>
      <c r="D862" s="196">
        <v>51</v>
      </c>
      <c r="E862" s="197">
        <v>8.9341320197508551</v>
      </c>
      <c r="F862" s="197">
        <v>0.65556166943852556</v>
      </c>
      <c r="G862" s="198">
        <v>1.3379407992302889E-2</v>
      </c>
      <c r="H862" s="197">
        <v>9.620558197528629</v>
      </c>
      <c r="I862" s="197">
        <v>0.68642617777777382</v>
      </c>
      <c r="J862" s="198">
        <v>2.4152065468867122E-3</v>
      </c>
    </row>
    <row r="863" spans="1:10">
      <c r="A863" s="196">
        <v>1</v>
      </c>
      <c r="B863">
        <v>20</v>
      </c>
      <c r="C863" s="196">
        <v>17</v>
      </c>
      <c r="D863" s="196">
        <v>52</v>
      </c>
      <c r="E863" s="197">
        <v>154.95116660455244</v>
      </c>
      <c r="F863" s="197">
        <v>-0.4180757302616292</v>
      </c>
      <c r="G863" s="198">
        <v>0.97123157119813386</v>
      </c>
      <c r="H863" s="197">
        <v>156.37022940909708</v>
      </c>
      <c r="I863" s="197">
        <v>0.91581292070307163</v>
      </c>
      <c r="J863" s="198">
        <v>0.88806758725297008</v>
      </c>
    </row>
    <row r="864" spans="1:10">
      <c r="A864" s="196">
        <v>1</v>
      </c>
      <c r="B864">
        <v>20</v>
      </c>
      <c r="C864" s="196">
        <v>17</v>
      </c>
      <c r="D864" s="196">
        <v>54</v>
      </c>
      <c r="E864" s="197">
        <v>95.551960079558668</v>
      </c>
      <c r="F864" s="197">
        <v>-0.54183555476502054</v>
      </c>
      <c r="G864" s="198">
        <v>0.3496332394249928</v>
      </c>
      <c r="H864" s="197">
        <v>90.959105162291721</v>
      </c>
      <c r="I864" s="197">
        <v>-4.5928549172669477</v>
      </c>
      <c r="J864" s="198">
        <v>3.1656253877583992E-3</v>
      </c>
    </row>
    <row r="865" spans="1:10">
      <c r="A865" s="196">
        <v>1</v>
      </c>
      <c r="B865">
        <v>20</v>
      </c>
      <c r="C865" s="196">
        <v>17</v>
      </c>
      <c r="D865" s="196">
        <v>55</v>
      </c>
      <c r="E865" s="197">
        <v>98.049312359383336</v>
      </c>
      <c r="F865" s="197">
        <v>-0.54183555476502054</v>
      </c>
      <c r="G865" s="198">
        <v>0.3496332394249928</v>
      </c>
      <c r="H865" s="197">
        <v>97.7758393920586</v>
      </c>
      <c r="I865" s="197">
        <v>-0.27891370244634828</v>
      </c>
      <c r="J865" s="198">
        <v>0.57547783582850942</v>
      </c>
    </row>
    <row r="866" spans="1:10">
      <c r="A866" s="196">
        <v>1</v>
      </c>
      <c r="B866">
        <v>20</v>
      </c>
      <c r="C866" s="196">
        <v>17</v>
      </c>
      <c r="D866" s="196">
        <v>56</v>
      </c>
      <c r="E866" s="197">
        <v>33.728993818123868</v>
      </c>
      <c r="F866" s="197">
        <v>-0.5834460984248212</v>
      </c>
      <c r="G866" s="198">
        <v>0.20120580846138447</v>
      </c>
      <c r="H866" s="197">
        <v>31.993081612628906</v>
      </c>
      <c r="I866" s="197">
        <v>-1.7359122054949623</v>
      </c>
      <c r="J866" s="198">
        <v>3.1833135013131491E-3</v>
      </c>
    </row>
    <row r="867" spans="1:10">
      <c r="A867" s="196">
        <v>1</v>
      </c>
      <c r="B867">
        <v>20</v>
      </c>
      <c r="C867" s="196">
        <v>18</v>
      </c>
      <c r="D867" s="196">
        <v>51</v>
      </c>
      <c r="E867" s="197">
        <v>18.031388891537983</v>
      </c>
      <c r="F867" s="197">
        <v>0.85120999301235345</v>
      </c>
      <c r="G867" s="198">
        <v>1.4126276807766103E-4</v>
      </c>
      <c r="H867" s="197">
        <v>19.103909991537986</v>
      </c>
      <c r="I867" s="197">
        <v>1.072521100000003</v>
      </c>
      <c r="J867" s="198">
        <v>1.2629043671338431E-3</v>
      </c>
    </row>
    <row r="868" spans="1:10">
      <c r="A868" s="196">
        <v>1</v>
      </c>
      <c r="B868">
        <v>20</v>
      </c>
      <c r="C868" s="196">
        <v>18</v>
      </c>
      <c r="D868" s="196">
        <v>52</v>
      </c>
      <c r="E868" s="197">
        <v>89.484499980167811</v>
      </c>
      <c r="F868" s="197">
        <v>5.7556506639307354</v>
      </c>
      <c r="G868" s="198">
        <v>0.53640542439985439</v>
      </c>
      <c r="H868" s="197">
        <v>100.8428501568405</v>
      </c>
      <c r="I868" s="197">
        <v>12.693092299996092</v>
      </c>
      <c r="J868" s="198">
        <v>0.1848752011988094</v>
      </c>
    </row>
    <row r="869" spans="1:10">
      <c r="A869" s="196">
        <v>1</v>
      </c>
      <c r="B869">
        <v>20</v>
      </c>
      <c r="C869" s="196">
        <v>18</v>
      </c>
      <c r="D869" s="196">
        <v>54</v>
      </c>
      <c r="E869" s="197">
        <v>95.863599443022537</v>
      </c>
      <c r="F869" s="197">
        <v>-3.2285233233843194</v>
      </c>
      <c r="G869" s="198">
        <v>0.45008428095486408</v>
      </c>
      <c r="H869" s="197">
        <v>93.422435192281341</v>
      </c>
      <c r="I869" s="197">
        <v>-2.4411642507411955</v>
      </c>
      <c r="J869" s="198">
        <v>9.6530592740603043E-3</v>
      </c>
    </row>
    <row r="870" spans="1:10">
      <c r="A870" s="196">
        <v>1</v>
      </c>
      <c r="B870">
        <v>20</v>
      </c>
      <c r="C870" s="196">
        <v>18</v>
      </c>
      <c r="D870" s="196">
        <v>55</v>
      </c>
      <c r="E870" s="197">
        <v>74.363508304951111</v>
      </c>
      <c r="F870" s="197">
        <v>-3.2285233233843194</v>
      </c>
      <c r="G870" s="198">
        <v>0.45008428095486408</v>
      </c>
      <c r="H870" s="197">
        <v>69.620323019352909</v>
      </c>
      <c r="I870" s="197">
        <v>-6.3783775049279097</v>
      </c>
      <c r="J870" s="198">
        <v>0.17913362988066517</v>
      </c>
    </row>
    <row r="871" spans="1:10">
      <c r="A871" s="196">
        <v>1</v>
      </c>
      <c r="B871">
        <v>20</v>
      </c>
      <c r="C871" s="196">
        <v>18</v>
      </c>
      <c r="D871" s="196">
        <v>56</v>
      </c>
      <c r="E871" s="197">
        <v>6.3968774296513153</v>
      </c>
      <c r="F871" s="197">
        <v>-0.45666748353761877</v>
      </c>
      <c r="G871" s="198">
        <v>0.20294928904693699</v>
      </c>
      <c r="H871" s="197">
        <v>5.7797891091571101</v>
      </c>
      <c r="I871" s="197">
        <v>-0.61708832049420526</v>
      </c>
      <c r="J871" s="198">
        <v>5.3608758625755301E-2</v>
      </c>
    </row>
    <row r="872" spans="1:10">
      <c r="A872" s="196">
        <v>1</v>
      </c>
      <c r="B872">
        <v>20</v>
      </c>
      <c r="C872" s="196">
        <v>19</v>
      </c>
      <c r="D872" s="196">
        <v>51</v>
      </c>
      <c r="E872" s="197">
        <v>19.891021489686864</v>
      </c>
      <c r="F872" s="197">
        <v>1.1457246242527233</v>
      </c>
      <c r="G872" s="198">
        <v>1.4222389997028009E-5</v>
      </c>
      <c r="H872" s="197">
        <v>20.649095756353539</v>
      </c>
      <c r="I872" s="197">
        <v>0.7580742666666751</v>
      </c>
      <c r="J872" s="198">
        <v>5.0339657486987967E-2</v>
      </c>
    </row>
    <row r="873" spans="1:10">
      <c r="A873" s="196">
        <v>1</v>
      </c>
      <c r="B873">
        <v>20</v>
      </c>
      <c r="C873" s="196">
        <v>19</v>
      </c>
      <c r="D873" s="196">
        <v>52</v>
      </c>
      <c r="E873" s="197">
        <v>96.084333491077047</v>
      </c>
      <c r="F873" s="197">
        <v>12.224471901631517</v>
      </c>
      <c r="G873" s="198">
        <v>0.36759190612710191</v>
      </c>
      <c r="H873" s="197">
        <v>90.792417628567677</v>
      </c>
      <c r="I873" s="197">
        <v>-5.5075740968748201</v>
      </c>
      <c r="J873" s="198">
        <v>0.69502101026370489</v>
      </c>
    </row>
    <row r="874" spans="1:10">
      <c r="A874" s="196">
        <v>1</v>
      </c>
      <c r="B874">
        <v>20</v>
      </c>
      <c r="C874" s="196">
        <v>19</v>
      </c>
      <c r="D874" s="196">
        <v>54</v>
      </c>
      <c r="E874" s="197">
        <v>94.052094986374286</v>
      </c>
      <c r="F874" s="197">
        <v>-5.9225663400043249</v>
      </c>
      <c r="G874" s="198">
        <v>0.36872468612974063</v>
      </c>
      <c r="H874" s="197">
        <v>98.173447076937322</v>
      </c>
      <c r="I874" s="197">
        <v>4.1213520905630361</v>
      </c>
      <c r="J874" s="198">
        <v>4.264740614341779E-2</v>
      </c>
    </row>
    <row r="875" spans="1:10">
      <c r="A875" s="196">
        <v>1</v>
      </c>
      <c r="B875">
        <v>20</v>
      </c>
      <c r="C875" s="196">
        <v>19</v>
      </c>
      <c r="D875" s="196">
        <v>55</v>
      </c>
      <c r="E875" s="197">
        <v>65.667829158109257</v>
      </c>
      <c r="F875" s="197">
        <v>-5.9225663400043249</v>
      </c>
      <c r="G875" s="198">
        <v>0.36872468612974063</v>
      </c>
      <c r="H875" s="197">
        <v>63.545999986219591</v>
      </c>
      <c r="I875" s="197">
        <v>-3.231154736028981</v>
      </c>
      <c r="J875" s="198">
        <v>0.63581119597592339</v>
      </c>
    </row>
    <row r="876" spans="1:10">
      <c r="A876" s="196">
        <v>1</v>
      </c>
      <c r="B876">
        <v>20</v>
      </c>
      <c r="C876" s="196">
        <v>19</v>
      </c>
      <c r="D876" s="196">
        <v>56</v>
      </c>
      <c r="E876" s="197">
        <v>4.3356512178528055</v>
      </c>
      <c r="F876" s="197">
        <v>-0.19032989208637374</v>
      </c>
      <c r="G876" s="198">
        <v>0.66985950233241009</v>
      </c>
      <c r="H876" s="197">
        <v>4.3900445020474361</v>
      </c>
      <c r="I876" s="197">
        <v>5.4393284194630631E-2</v>
      </c>
      <c r="J876" s="198">
        <v>0.87958831842013807</v>
      </c>
    </row>
    <row r="877" spans="1:10">
      <c r="A877" s="196">
        <v>1</v>
      </c>
      <c r="B877">
        <v>1</v>
      </c>
      <c r="C877" s="196">
        <v>13</v>
      </c>
      <c r="D877" s="196">
        <v>51</v>
      </c>
      <c r="E877" s="197">
        <v>19.131534816719483</v>
      </c>
      <c r="F877" s="197">
        <v>1.01517755487654</v>
      </c>
      <c r="G877" s="198">
        <v>2.7683973679682919E-4</v>
      </c>
      <c r="H877" s="197">
        <v>19.953243600052815</v>
      </c>
      <c r="I877" s="197">
        <v>0.82170878333333164</v>
      </c>
      <c r="J877" s="198">
        <v>6.0978194942217399E-3</v>
      </c>
    </row>
    <row r="878" spans="1:10">
      <c r="A878" s="196">
        <v>1</v>
      </c>
      <c r="B878">
        <v>1</v>
      </c>
      <c r="C878" s="196">
        <v>13</v>
      </c>
      <c r="D878" s="196">
        <v>52</v>
      </c>
      <c r="E878" s="197">
        <v>140.09190476190471</v>
      </c>
      <c r="F878" s="197">
        <v>-8.0140791355474121</v>
      </c>
      <c r="G878" s="198">
        <v>0.320536377032685</v>
      </c>
      <c r="H878" s="197">
        <v>134.45676361040628</v>
      </c>
      <c r="I878" s="197">
        <v>-4.0224602278595061</v>
      </c>
      <c r="J878" s="198">
        <v>0.56657834792764117</v>
      </c>
    </row>
    <row r="879" spans="1:10">
      <c r="A879" s="196">
        <v>1</v>
      </c>
      <c r="B879">
        <v>1</v>
      </c>
      <c r="C879" s="196">
        <v>13</v>
      </c>
      <c r="D879" s="196">
        <v>54</v>
      </c>
      <c r="E879" s="197">
        <v>94.424742375593993</v>
      </c>
      <c r="F879" s="197">
        <v>0.53298226407231364</v>
      </c>
      <c r="G879" s="198">
        <v>0.11681334542618993</v>
      </c>
      <c r="H879" s="197">
        <v>94.898866401120642</v>
      </c>
      <c r="I879" s="197">
        <v>0.47412402552664901</v>
      </c>
      <c r="J879" s="198">
        <v>0.62435797114094971</v>
      </c>
    </row>
    <row r="880" spans="1:10">
      <c r="A880" s="196">
        <v>1</v>
      </c>
      <c r="B880">
        <v>1</v>
      </c>
      <c r="C880" s="196">
        <v>13</v>
      </c>
      <c r="D880" s="196">
        <v>55</v>
      </c>
      <c r="E880" s="197">
        <v>98.653189949639255</v>
      </c>
      <c r="F880" s="197">
        <v>0.53298226407231364</v>
      </c>
      <c r="G880" s="198">
        <v>0.11681334542618993</v>
      </c>
      <c r="H880" s="197">
        <v>99.215170398380252</v>
      </c>
      <c r="I880" s="197">
        <v>0.5696525870353335</v>
      </c>
      <c r="J880" s="198">
        <v>0.67330406392117348</v>
      </c>
    </row>
    <row r="881" spans="1:10">
      <c r="A881" s="196">
        <v>1</v>
      </c>
      <c r="B881">
        <v>1</v>
      </c>
      <c r="C881" s="196">
        <v>13</v>
      </c>
      <c r="D881" s="196">
        <v>56</v>
      </c>
      <c r="E881" s="197">
        <v>6.5194503508994517</v>
      </c>
      <c r="F881" s="197">
        <v>-0.36103565043473979</v>
      </c>
      <c r="G881" s="198">
        <v>1.2054628755934516E-2</v>
      </c>
      <c r="H881" s="197">
        <v>6.582212504380557</v>
      </c>
      <c r="I881" s="197">
        <v>6.2762153481105365E-2</v>
      </c>
      <c r="J881" s="198">
        <v>0.57040552961328039</v>
      </c>
    </row>
    <row r="882" spans="1:10">
      <c r="A882" s="196">
        <v>1</v>
      </c>
      <c r="B882">
        <v>1</v>
      </c>
      <c r="C882" s="196">
        <v>14</v>
      </c>
      <c r="D882" s="196">
        <v>51</v>
      </c>
      <c r="E882" s="197">
        <v>10.073985920388589</v>
      </c>
      <c r="F882" s="197">
        <v>0.2745112785873256</v>
      </c>
      <c r="G882" s="198">
        <v>0.21424681603744866</v>
      </c>
      <c r="H882" s="197">
        <v>11.615045803721923</v>
      </c>
      <c r="I882" s="197">
        <v>1.5410598833333342</v>
      </c>
      <c r="J882" s="198">
        <v>1.9360981352956235E-6</v>
      </c>
    </row>
    <row r="883" spans="1:10">
      <c r="A883" s="196">
        <v>1</v>
      </c>
      <c r="B883">
        <v>1</v>
      </c>
      <c r="C883" s="196">
        <v>14</v>
      </c>
      <c r="D883" s="196">
        <v>52</v>
      </c>
      <c r="E883" s="197">
        <v>106.3684126984127</v>
      </c>
      <c r="F883" s="197">
        <v>3.5689284390062697</v>
      </c>
      <c r="G883" s="198">
        <v>0.62531655130810537</v>
      </c>
      <c r="H883" s="197">
        <v>109.09347672142661</v>
      </c>
      <c r="I883" s="197">
        <v>2.5619109601083516</v>
      </c>
      <c r="J883" s="198">
        <v>0.77357405841037108</v>
      </c>
    </row>
    <row r="884" spans="1:10">
      <c r="A884" s="196">
        <v>1</v>
      </c>
      <c r="B884">
        <v>1</v>
      </c>
      <c r="C884" s="196">
        <v>14</v>
      </c>
      <c r="D884" s="196">
        <v>54</v>
      </c>
      <c r="E884" s="197">
        <v>91.023980312921267</v>
      </c>
      <c r="F884" s="197">
        <v>0.67984711188874447</v>
      </c>
      <c r="G884" s="198">
        <v>0.59325911393343489</v>
      </c>
      <c r="H884" s="197">
        <v>97.546930040551118</v>
      </c>
      <c r="I884" s="197">
        <v>6.5229497276298503</v>
      </c>
      <c r="J884" s="198">
        <v>6.4189147640425586E-6</v>
      </c>
    </row>
    <row r="885" spans="1:10">
      <c r="A885" s="196">
        <v>1</v>
      </c>
      <c r="B885">
        <v>1</v>
      </c>
      <c r="C885" s="196">
        <v>14</v>
      </c>
      <c r="D885" s="196">
        <v>55</v>
      </c>
      <c r="E885" s="197">
        <v>92.487412252889442</v>
      </c>
      <c r="F885" s="197">
        <v>0.67984711188874447</v>
      </c>
      <c r="G885" s="198">
        <v>0.59325911393343489</v>
      </c>
      <c r="H885" s="197">
        <v>92.452172350101804</v>
      </c>
      <c r="I885" s="197">
        <v>-3.8102377317330967E-2</v>
      </c>
      <c r="J885" s="198">
        <v>0.97928651625706709</v>
      </c>
    </row>
    <row r="886" spans="1:10">
      <c r="A886" s="196">
        <v>1</v>
      </c>
      <c r="B886">
        <v>1</v>
      </c>
      <c r="C886" s="196">
        <v>14</v>
      </c>
      <c r="D886" s="196">
        <v>56</v>
      </c>
      <c r="E886" s="197">
        <v>5.883245507675964</v>
      </c>
      <c r="F886" s="197">
        <v>0.13244400253639882</v>
      </c>
      <c r="G886" s="198">
        <v>0.11930568709914813</v>
      </c>
      <c r="H886" s="197">
        <v>6.3087418318559854</v>
      </c>
      <c r="I886" s="197">
        <v>0.42549632418002137</v>
      </c>
      <c r="J886" s="198">
        <v>2.0568794336791696E-3</v>
      </c>
    </row>
    <row r="887" spans="1:10">
      <c r="A887" s="196">
        <v>1</v>
      </c>
      <c r="B887">
        <v>1</v>
      </c>
      <c r="C887" s="196">
        <v>15</v>
      </c>
      <c r="D887" s="196">
        <v>51</v>
      </c>
      <c r="E887" s="197">
        <v>0.78866666650133399</v>
      </c>
      <c r="F887" s="197">
        <v>1.1449674241008403</v>
      </c>
      <c r="G887" s="198">
        <v>6.1311653012232861E-2</v>
      </c>
      <c r="H887" s="197">
        <v>2.2333338665013329</v>
      </c>
      <c r="I887" s="197">
        <v>1.4446671999999987</v>
      </c>
      <c r="J887" s="198">
        <v>9.9221422676572593E-3</v>
      </c>
    </row>
    <row r="888" spans="1:10">
      <c r="A888" s="196">
        <v>1</v>
      </c>
      <c r="B888">
        <v>1</v>
      </c>
      <c r="C888" s="196">
        <v>15</v>
      </c>
      <c r="D888" s="196">
        <v>52</v>
      </c>
      <c r="E888" s="197">
        <v>50.577619047619038</v>
      </c>
      <c r="F888" s="197">
        <v>4.7302399491498415</v>
      </c>
      <c r="G888" s="198">
        <v>0.2366498497891445</v>
      </c>
      <c r="H888" s="197">
        <v>50.427686453373809</v>
      </c>
      <c r="I888" s="197">
        <v>-0.29644059382088433</v>
      </c>
      <c r="J888" s="198">
        <v>0.97237890824511697</v>
      </c>
    </row>
    <row r="889" spans="1:10">
      <c r="A889" s="196">
        <v>1</v>
      </c>
      <c r="B889">
        <v>1</v>
      </c>
      <c r="C889" s="196">
        <v>15</v>
      </c>
      <c r="D889" s="196">
        <v>54</v>
      </c>
      <c r="E889" s="197">
        <v>80.252642849672071</v>
      </c>
      <c r="F889" s="197">
        <v>5.9518669061950247</v>
      </c>
      <c r="G889" s="198">
        <v>0.12956039001386976</v>
      </c>
      <c r="H889" s="197">
        <v>87.290366075242801</v>
      </c>
      <c r="I889" s="197">
        <v>7.0377232255707298</v>
      </c>
      <c r="J889" s="198">
        <v>8.7863910277724538E-3</v>
      </c>
    </row>
    <row r="890" spans="1:10">
      <c r="A890" s="196">
        <v>1</v>
      </c>
      <c r="B890">
        <v>1</v>
      </c>
      <c r="C890" s="196">
        <v>15</v>
      </c>
      <c r="D890" s="196">
        <v>55</v>
      </c>
      <c r="E890" s="197">
        <v>79.639909070623943</v>
      </c>
      <c r="F890" s="197">
        <v>5.9518669061950247</v>
      </c>
      <c r="G890" s="198">
        <v>0.12956039001386976</v>
      </c>
      <c r="H890" s="197">
        <v>79.640590049085347</v>
      </c>
      <c r="I890" s="197">
        <v>8.5507187206102257E-4</v>
      </c>
      <c r="J890" s="198">
        <v>0.99973990848592664</v>
      </c>
    </row>
    <row r="891" spans="1:10">
      <c r="A891" s="196">
        <v>1</v>
      </c>
      <c r="B891">
        <v>1</v>
      </c>
      <c r="C891" s="196">
        <v>15</v>
      </c>
      <c r="D891" s="196">
        <v>56</v>
      </c>
      <c r="E891" s="197">
        <v>3.2272072626425481</v>
      </c>
      <c r="F891" s="197">
        <v>0.3223482449406313</v>
      </c>
      <c r="G891" s="198">
        <v>9.1976790784257509E-2</v>
      </c>
      <c r="H891" s="197">
        <v>3.5555212819102384</v>
      </c>
      <c r="I891" s="197">
        <v>0.32831401926769033</v>
      </c>
      <c r="J891" s="198">
        <v>4.6895039774776964E-2</v>
      </c>
    </row>
    <row r="892" spans="1:10">
      <c r="A892" s="196">
        <v>1</v>
      </c>
      <c r="B892">
        <v>1</v>
      </c>
      <c r="C892" s="196">
        <v>16</v>
      </c>
      <c r="D892" s="196">
        <v>51</v>
      </c>
      <c r="E892" s="197">
        <v>-4.1265727927531861</v>
      </c>
      <c r="F892" s="197">
        <v>0.42928123020800357</v>
      </c>
      <c r="G892" s="198">
        <v>0.40204319582198844</v>
      </c>
      <c r="H892" s="197">
        <v>-1.4137662549199208</v>
      </c>
      <c r="I892" s="197">
        <v>1.2</v>
      </c>
      <c r="J892" s="198">
        <v>0.01</v>
      </c>
    </row>
    <row r="893" spans="1:10">
      <c r="A893" s="196">
        <v>1</v>
      </c>
      <c r="B893">
        <v>1</v>
      </c>
      <c r="C893" s="196">
        <v>16</v>
      </c>
      <c r="D893" s="196">
        <v>52</v>
      </c>
      <c r="E893" s="197">
        <v>123.65015873015872</v>
      </c>
      <c r="F893" s="197">
        <v>3.7902855024100934</v>
      </c>
      <c r="G893" s="198">
        <v>0.60671404663685768</v>
      </c>
      <c r="H893" s="197">
        <v>139.25067471419948</v>
      </c>
      <c r="I893" s="197">
        <v>12.616656657987566</v>
      </c>
      <c r="J893" s="198">
        <v>4.3441521762633536E-2</v>
      </c>
    </row>
    <row r="894" spans="1:10">
      <c r="A894" s="196">
        <v>1</v>
      </c>
      <c r="B894">
        <v>1</v>
      </c>
      <c r="C894" s="196">
        <v>16</v>
      </c>
      <c r="D894" s="196">
        <v>54</v>
      </c>
      <c r="E894" s="197">
        <v>84.936276067093502</v>
      </c>
      <c r="F894" s="197">
        <v>-0.39601091854393172</v>
      </c>
      <c r="G894" s="198">
        <v>0.54801634391112386</v>
      </c>
      <c r="H894" s="197">
        <v>88.294675678680264</v>
      </c>
      <c r="I894" s="197">
        <v>3.358399611586762</v>
      </c>
      <c r="J894" s="198">
        <v>0.11539301538872682</v>
      </c>
    </row>
    <row r="895" spans="1:10">
      <c r="A895" s="196">
        <v>1</v>
      </c>
      <c r="B895">
        <v>1</v>
      </c>
      <c r="C895" s="196">
        <v>16</v>
      </c>
      <c r="D895" s="196">
        <v>55</v>
      </c>
      <c r="E895" s="197">
        <v>97.466528115936455</v>
      </c>
      <c r="F895" s="197">
        <v>-0.39601091854393172</v>
      </c>
      <c r="G895" s="198">
        <v>0.54801634391112386</v>
      </c>
      <c r="H895" s="197">
        <v>97.112960553298009</v>
      </c>
      <c r="I895" s="197">
        <v>-0.36275793287505104</v>
      </c>
      <c r="J895" s="198">
        <v>0.49041582972991893</v>
      </c>
    </row>
    <row r="896" spans="1:10">
      <c r="A896" s="196">
        <v>1</v>
      </c>
      <c r="B896">
        <v>1</v>
      </c>
      <c r="C896" s="196">
        <v>16</v>
      </c>
      <c r="D896" s="196">
        <v>56</v>
      </c>
      <c r="E896" s="197">
        <v>24.039411617452757</v>
      </c>
      <c r="F896" s="197">
        <v>0.80064675235631755</v>
      </c>
      <c r="G896" s="198">
        <v>0.43601290762164768</v>
      </c>
      <c r="H896" s="197">
        <v>24.893995067648991</v>
      </c>
      <c r="I896" s="197">
        <v>0.80064675235631755</v>
      </c>
      <c r="J896" s="198">
        <v>0.43601290762164768</v>
      </c>
    </row>
    <row r="897" spans="1:10">
      <c r="A897" s="196">
        <v>1</v>
      </c>
      <c r="B897">
        <v>1</v>
      </c>
      <c r="C897" s="196">
        <v>17</v>
      </c>
      <c r="D897" s="196">
        <v>51</v>
      </c>
      <c r="E897" s="197">
        <v>7.79533777103895</v>
      </c>
      <c r="F897" s="197">
        <v>0.45391426013622105</v>
      </c>
      <c r="G897" s="198">
        <v>7.380259925237323E-2</v>
      </c>
      <c r="H897" s="197">
        <v>8.5899123710389489</v>
      </c>
      <c r="I897" s="197">
        <v>0.79457459999999891</v>
      </c>
      <c r="J897" s="198">
        <v>4.7221668369859405E-3</v>
      </c>
    </row>
    <row r="898" spans="1:10">
      <c r="A898" s="196">
        <v>1</v>
      </c>
      <c r="B898">
        <v>1</v>
      </c>
      <c r="C898" s="196">
        <v>17</v>
      </c>
      <c r="D898" s="196">
        <v>52</v>
      </c>
      <c r="E898" s="197">
        <v>135.00428571428571</v>
      </c>
      <c r="F898" s="197">
        <v>3.970792944541564</v>
      </c>
      <c r="G898" s="198">
        <v>0.61538662918106524</v>
      </c>
      <c r="H898" s="197">
        <v>145.75196120765273</v>
      </c>
      <c r="I898" s="197">
        <v>7.9609883764080545</v>
      </c>
      <c r="J898" s="198">
        <v>0.30006391494921425</v>
      </c>
    </row>
    <row r="899" spans="1:10">
      <c r="A899" s="196">
        <v>1</v>
      </c>
      <c r="B899">
        <v>1</v>
      </c>
      <c r="C899" s="196">
        <v>17</v>
      </c>
      <c r="D899" s="196">
        <v>54</v>
      </c>
      <c r="E899" s="197">
        <v>98.20182258112392</v>
      </c>
      <c r="F899" s="197">
        <v>7.9208806857461511E-2</v>
      </c>
      <c r="G899" s="198">
        <v>0.83082232566311887</v>
      </c>
      <c r="H899" s="197">
        <v>96.172526319681026</v>
      </c>
      <c r="I899" s="197">
        <v>-2.0292962614428944</v>
      </c>
      <c r="J899" s="198">
        <v>4.2085864613414327E-2</v>
      </c>
    </row>
    <row r="900" spans="1:10">
      <c r="A900" s="196">
        <v>1</v>
      </c>
      <c r="B900">
        <v>1</v>
      </c>
      <c r="C900" s="196">
        <v>17</v>
      </c>
      <c r="D900" s="196">
        <v>55</v>
      </c>
      <c r="E900" s="197">
        <v>98.368940429122659</v>
      </c>
      <c r="F900" s="197">
        <v>7.9208806857461511E-2</v>
      </c>
      <c r="G900" s="198">
        <v>0.83082232566311887</v>
      </c>
      <c r="H900" s="197">
        <v>97.459608688985924</v>
      </c>
      <c r="I900" s="197">
        <v>-0.92440940826432738</v>
      </c>
      <c r="J900" s="198">
        <v>9.3787669339294319E-2</v>
      </c>
    </row>
    <row r="901" spans="1:10">
      <c r="A901" s="196">
        <v>1</v>
      </c>
      <c r="B901">
        <v>1</v>
      </c>
      <c r="C901" s="196">
        <v>17</v>
      </c>
      <c r="D901" s="196">
        <v>56</v>
      </c>
      <c r="E901" s="197">
        <v>34.774613946171108</v>
      </c>
      <c r="F901" s="197">
        <v>0.23374297893441323</v>
      </c>
      <c r="G901" s="198">
        <v>0.35270287473208695</v>
      </c>
      <c r="H901" s="197">
        <v>33.734261092294936</v>
      </c>
      <c r="I901" s="197">
        <v>-1.0403528538761719</v>
      </c>
      <c r="J901" s="198">
        <v>9.8529897520185181E-3</v>
      </c>
    </row>
    <row r="902" spans="1:10">
      <c r="A902" s="196">
        <v>1</v>
      </c>
      <c r="B902">
        <v>1</v>
      </c>
      <c r="C902" s="196">
        <v>18</v>
      </c>
      <c r="D902" s="196">
        <v>51</v>
      </c>
      <c r="E902" s="197">
        <v>17.825587293685416</v>
      </c>
      <c r="F902" s="197">
        <v>0.45757718922014856</v>
      </c>
      <c r="G902" s="198">
        <v>0.21871734117117614</v>
      </c>
      <c r="H902" s="197">
        <v>18.900172460352085</v>
      </c>
      <c r="I902" s="197">
        <v>1.0745851666666688</v>
      </c>
      <c r="J902" s="198">
        <v>5.6609035383585124E-4</v>
      </c>
    </row>
    <row r="903" spans="1:10">
      <c r="A903" s="196">
        <v>1</v>
      </c>
      <c r="B903">
        <v>1</v>
      </c>
      <c r="C903" s="196">
        <v>18</v>
      </c>
      <c r="D903" s="196">
        <v>52</v>
      </c>
      <c r="E903" s="197">
        <v>76.197142857142879</v>
      </c>
      <c r="F903" s="197">
        <v>-15.031749563006549</v>
      </c>
      <c r="G903" s="198">
        <v>3.3844871534620367E-2</v>
      </c>
      <c r="H903" s="197">
        <v>76.62780694756205</v>
      </c>
      <c r="I903" s="197">
        <v>0.56519716392331765</v>
      </c>
      <c r="J903" s="198">
        <v>0.94180107006149538</v>
      </c>
    </row>
    <row r="904" spans="1:10">
      <c r="A904" s="196">
        <v>1</v>
      </c>
      <c r="B904">
        <v>1</v>
      </c>
      <c r="C904" s="196">
        <v>18</v>
      </c>
      <c r="D904" s="196">
        <v>54</v>
      </c>
      <c r="E904" s="197">
        <v>93.904181652960929</v>
      </c>
      <c r="F904" s="197">
        <v>5.7058812444132592</v>
      </c>
      <c r="G904" s="198">
        <v>6.3129424647601351E-2</v>
      </c>
      <c r="H904" s="197">
        <v>92.986357956130092</v>
      </c>
      <c r="I904" s="197">
        <v>-0.91782369683083687</v>
      </c>
      <c r="J904" s="198">
        <v>0.16120892309281332</v>
      </c>
    </row>
    <row r="905" spans="1:10">
      <c r="A905" s="196">
        <v>1</v>
      </c>
      <c r="B905">
        <v>1</v>
      </c>
      <c r="C905" s="196">
        <v>18</v>
      </c>
      <c r="D905" s="196">
        <v>55</v>
      </c>
      <c r="E905" s="197">
        <v>80.664283721016702</v>
      </c>
      <c r="F905" s="197">
        <v>5.7058812444132592</v>
      </c>
      <c r="G905" s="198">
        <v>6.3129424647601351E-2</v>
      </c>
      <c r="H905" s="197">
        <v>79.911027395671823</v>
      </c>
      <c r="I905" s="197">
        <v>-0.93381641861479192</v>
      </c>
      <c r="J905" s="198">
        <v>0.86676713345446577</v>
      </c>
    </row>
    <row r="906" spans="1:10">
      <c r="A906" s="196">
        <v>1</v>
      </c>
      <c r="B906">
        <v>1</v>
      </c>
      <c r="C906" s="196">
        <v>18</v>
      </c>
      <c r="D906" s="196">
        <v>56</v>
      </c>
      <c r="E906" s="197">
        <v>6.7833803464590989</v>
      </c>
      <c r="F906" s="197">
        <v>0.33884002930894924</v>
      </c>
      <c r="G906" s="198">
        <v>0.21652063769297225</v>
      </c>
      <c r="H906" s="197">
        <v>6.6539804499315034</v>
      </c>
      <c r="I906" s="197">
        <v>-0.12939989652759554</v>
      </c>
      <c r="J906" s="198">
        <v>0.7019277813986029</v>
      </c>
    </row>
    <row r="907" spans="1:10">
      <c r="A907" s="196">
        <v>1</v>
      </c>
      <c r="B907">
        <v>1</v>
      </c>
      <c r="C907" s="196">
        <v>19</v>
      </c>
      <c r="D907" s="196">
        <v>51</v>
      </c>
      <c r="E907" s="197">
        <v>19.697941627736824</v>
      </c>
      <c r="F907" s="197">
        <v>1.14974036686208</v>
      </c>
      <c r="G907" s="198">
        <v>1.1682963392097277E-3</v>
      </c>
      <c r="H907" s="197">
        <v>20.287021761070154</v>
      </c>
      <c r="I907" s="197">
        <v>0.58908013333332931</v>
      </c>
      <c r="J907" s="198">
        <v>8.8085622073519221E-2</v>
      </c>
    </row>
    <row r="908" spans="1:10">
      <c r="A908" s="196">
        <v>1</v>
      </c>
      <c r="B908">
        <v>1</v>
      </c>
      <c r="C908" s="196">
        <v>19</v>
      </c>
      <c r="D908" s="196">
        <v>52</v>
      </c>
      <c r="E908" s="197">
        <v>80.22571428571429</v>
      </c>
      <c r="F908" s="197">
        <v>-2.5683775623708636</v>
      </c>
      <c r="G908" s="198">
        <v>0.72260932419936863</v>
      </c>
      <c r="H908" s="197">
        <v>76.889836889641444</v>
      </c>
      <c r="I908" s="197">
        <v>-4.1581149208500801</v>
      </c>
      <c r="J908" s="198">
        <v>0.64537012482900802</v>
      </c>
    </row>
    <row r="909" spans="1:10">
      <c r="A909" s="196">
        <v>1</v>
      </c>
      <c r="B909">
        <v>1</v>
      </c>
      <c r="C909" s="196">
        <v>19</v>
      </c>
      <c r="D909" s="196">
        <v>54</v>
      </c>
      <c r="E909" s="197">
        <v>91.822610403960894</v>
      </c>
      <c r="F909" s="197">
        <v>1.319932667260431</v>
      </c>
      <c r="G909" s="198">
        <v>0.68690841732599717</v>
      </c>
      <c r="H909" s="197">
        <v>95.472717791901459</v>
      </c>
      <c r="I909" s="197">
        <v>3.6501073879405652</v>
      </c>
      <c r="J909" s="198">
        <v>8.5872811497095025E-2</v>
      </c>
    </row>
    <row r="910" spans="1:10">
      <c r="A910" s="196">
        <v>1</v>
      </c>
      <c r="B910">
        <v>1</v>
      </c>
      <c r="C910" s="196">
        <v>19</v>
      </c>
      <c r="D910" s="196">
        <v>55</v>
      </c>
      <c r="E910" s="197">
        <v>74.390334109787815</v>
      </c>
      <c r="F910" s="197">
        <v>1.319932667260431</v>
      </c>
      <c r="G910" s="198">
        <v>0.68690841732599717</v>
      </c>
      <c r="H910" s="197">
        <v>76.640969215256845</v>
      </c>
      <c r="I910" s="197">
        <v>3.0254402435502823</v>
      </c>
      <c r="J910" s="198">
        <v>0.61504157786357916</v>
      </c>
    </row>
    <row r="911" spans="1:10">
      <c r="A911" s="196">
        <v>1</v>
      </c>
      <c r="B911">
        <v>1</v>
      </c>
      <c r="C911" s="196">
        <v>19</v>
      </c>
      <c r="D911" s="196">
        <v>56</v>
      </c>
      <c r="E911" s="197">
        <v>4.8087705869733384</v>
      </c>
      <c r="F911" s="197">
        <v>0.23569930322136048</v>
      </c>
      <c r="G911" s="198">
        <v>0.32604995540176163</v>
      </c>
      <c r="H911" s="197">
        <v>5.0980614861441911</v>
      </c>
      <c r="I911" s="197">
        <v>0.28929089917085271</v>
      </c>
      <c r="J911" s="198">
        <v>0.34179283570487495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8"/>
  <dimension ref="A1:C910"/>
  <sheetViews>
    <sheetView topLeftCell="A166" workbookViewId="0">
      <selection activeCell="C1" sqref="C1:C910"/>
    </sheetView>
  </sheetViews>
  <sheetFormatPr defaultRowHeight="15"/>
  <sheetData>
    <row r="1" spans="1:3">
      <c r="A1">
        <v>26</v>
      </c>
      <c r="C1">
        <v>26</v>
      </c>
    </row>
    <row r="2" spans="1:3">
      <c r="A2">
        <v>25</v>
      </c>
      <c r="C2">
        <v>26</v>
      </c>
    </row>
    <row r="3" spans="1:3">
      <c r="A3">
        <v>14</v>
      </c>
      <c r="C3">
        <v>26</v>
      </c>
    </row>
    <row r="4" spans="1:3">
      <c r="A4">
        <v>3</v>
      </c>
      <c r="C4">
        <v>26</v>
      </c>
    </row>
    <row r="5" spans="1:3">
      <c r="A5">
        <v>17</v>
      </c>
      <c r="C5">
        <v>26</v>
      </c>
    </row>
    <row r="6" spans="1:3">
      <c r="A6">
        <v>18</v>
      </c>
      <c r="C6">
        <v>26</v>
      </c>
    </row>
    <row r="7" spans="1:3">
      <c r="A7">
        <v>5</v>
      </c>
      <c r="C7">
        <v>26</v>
      </c>
    </row>
    <row r="8" spans="1:3">
      <c r="A8">
        <v>19</v>
      </c>
      <c r="C8">
        <v>26</v>
      </c>
    </row>
    <row r="9" spans="1:3">
      <c r="A9">
        <v>22</v>
      </c>
      <c r="C9">
        <v>26</v>
      </c>
    </row>
    <row r="10" spans="1:3">
      <c r="A10">
        <v>15</v>
      </c>
      <c r="C10">
        <v>26</v>
      </c>
    </row>
    <row r="11" spans="1:3">
      <c r="A11">
        <v>6</v>
      </c>
      <c r="C11">
        <v>26</v>
      </c>
    </row>
    <row r="12" spans="1:3">
      <c r="A12">
        <v>16</v>
      </c>
      <c r="C12">
        <v>26</v>
      </c>
    </row>
    <row r="13" spans="1:3">
      <c r="A13">
        <v>13</v>
      </c>
      <c r="C13">
        <v>26</v>
      </c>
    </row>
    <row r="14" spans="1:3">
      <c r="A14">
        <v>7</v>
      </c>
      <c r="C14">
        <v>26</v>
      </c>
    </row>
    <row r="15" spans="1:3">
      <c r="A15">
        <v>23</v>
      </c>
      <c r="C15">
        <v>26</v>
      </c>
    </row>
    <row r="16" spans="1:3">
      <c r="A16">
        <v>21</v>
      </c>
      <c r="C16">
        <v>26</v>
      </c>
    </row>
    <row r="17" spans="1:3">
      <c r="A17">
        <v>9</v>
      </c>
      <c r="C17">
        <v>26</v>
      </c>
    </row>
    <row r="18" spans="1:3">
      <c r="A18">
        <v>4</v>
      </c>
      <c r="C18">
        <v>26</v>
      </c>
    </row>
    <row r="19" spans="1:3">
      <c r="A19">
        <v>2</v>
      </c>
      <c r="C19">
        <v>26</v>
      </c>
    </row>
    <row r="20" spans="1:3">
      <c r="A20">
        <v>11</v>
      </c>
      <c r="C20">
        <v>26</v>
      </c>
    </row>
    <row r="21" spans="1:3">
      <c r="A21">
        <v>10</v>
      </c>
      <c r="C21">
        <v>26</v>
      </c>
    </row>
    <row r="22" spans="1:3">
      <c r="A22">
        <v>24</v>
      </c>
      <c r="C22">
        <v>26</v>
      </c>
    </row>
    <row r="23" spans="1:3">
      <c r="A23">
        <v>8</v>
      </c>
      <c r="C23">
        <v>26</v>
      </c>
    </row>
    <row r="24" spans="1:3">
      <c r="A24">
        <v>12</v>
      </c>
      <c r="C24">
        <v>26</v>
      </c>
    </row>
    <row r="25" spans="1:3">
      <c r="A25">
        <v>20</v>
      </c>
      <c r="C25">
        <v>26</v>
      </c>
    </row>
    <row r="26" spans="1:3">
      <c r="A26">
        <v>1</v>
      </c>
      <c r="C26">
        <v>26</v>
      </c>
    </row>
    <row r="27" spans="1:3">
      <c r="C27">
        <v>26</v>
      </c>
    </row>
    <row r="28" spans="1:3">
      <c r="C28">
        <v>26</v>
      </c>
    </row>
    <row r="29" spans="1:3">
      <c r="C29">
        <v>26</v>
      </c>
    </row>
    <row r="30" spans="1:3">
      <c r="C30">
        <v>26</v>
      </c>
    </row>
    <row r="31" spans="1:3">
      <c r="C31">
        <v>26</v>
      </c>
    </row>
    <row r="32" spans="1:3">
      <c r="C32">
        <v>26</v>
      </c>
    </row>
    <row r="33" spans="3:3">
      <c r="C33">
        <v>26</v>
      </c>
    </row>
    <row r="34" spans="3:3">
      <c r="C34">
        <v>26</v>
      </c>
    </row>
    <row r="35" spans="3:3">
      <c r="C35">
        <v>26</v>
      </c>
    </row>
    <row r="36" spans="3:3">
      <c r="C36">
        <v>25</v>
      </c>
    </row>
    <row r="37" spans="3:3">
      <c r="C37">
        <v>25</v>
      </c>
    </row>
    <row r="38" spans="3:3">
      <c r="C38">
        <v>25</v>
      </c>
    </row>
    <row r="39" spans="3:3">
      <c r="C39">
        <v>25</v>
      </c>
    </row>
    <row r="40" spans="3:3">
      <c r="C40">
        <v>25</v>
      </c>
    </row>
    <row r="41" spans="3:3">
      <c r="C41">
        <v>25</v>
      </c>
    </row>
    <row r="42" spans="3:3">
      <c r="C42">
        <v>25</v>
      </c>
    </row>
    <row r="43" spans="3:3">
      <c r="C43">
        <v>25</v>
      </c>
    </row>
    <row r="44" spans="3:3">
      <c r="C44">
        <v>25</v>
      </c>
    </row>
    <row r="45" spans="3:3">
      <c r="C45">
        <v>25</v>
      </c>
    </row>
    <row r="46" spans="3:3">
      <c r="C46">
        <v>25</v>
      </c>
    </row>
    <row r="47" spans="3:3">
      <c r="C47">
        <v>25</v>
      </c>
    </row>
    <row r="48" spans="3:3">
      <c r="C48">
        <v>25</v>
      </c>
    </row>
    <row r="49" spans="3:3">
      <c r="C49">
        <v>25</v>
      </c>
    </row>
    <row r="50" spans="3:3">
      <c r="C50">
        <v>25</v>
      </c>
    </row>
    <row r="51" spans="3:3">
      <c r="C51">
        <v>25</v>
      </c>
    </row>
    <row r="52" spans="3:3">
      <c r="C52">
        <v>25</v>
      </c>
    </row>
    <row r="53" spans="3:3">
      <c r="C53">
        <v>25</v>
      </c>
    </row>
    <row r="54" spans="3:3">
      <c r="C54">
        <v>25</v>
      </c>
    </row>
    <row r="55" spans="3:3">
      <c r="C55">
        <v>25</v>
      </c>
    </row>
    <row r="56" spans="3:3">
      <c r="C56">
        <v>25</v>
      </c>
    </row>
    <row r="57" spans="3:3">
      <c r="C57">
        <v>25</v>
      </c>
    </row>
    <row r="58" spans="3:3">
      <c r="C58">
        <v>25</v>
      </c>
    </row>
    <row r="59" spans="3:3">
      <c r="C59">
        <v>25</v>
      </c>
    </row>
    <row r="60" spans="3:3">
      <c r="C60">
        <v>25</v>
      </c>
    </row>
    <row r="61" spans="3:3">
      <c r="C61">
        <v>25</v>
      </c>
    </row>
    <row r="62" spans="3:3">
      <c r="C62">
        <v>25</v>
      </c>
    </row>
    <row r="63" spans="3:3">
      <c r="C63">
        <v>25</v>
      </c>
    </row>
    <row r="64" spans="3:3">
      <c r="C64">
        <v>25</v>
      </c>
    </row>
    <row r="65" spans="3:3">
      <c r="C65">
        <v>25</v>
      </c>
    </row>
    <row r="66" spans="3:3">
      <c r="C66">
        <v>25</v>
      </c>
    </row>
    <row r="67" spans="3:3">
      <c r="C67">
        <v>25</v>
      </c>
    </row>
    <row r="68" spans="3:3">
      <c r="C68">
        <v>25</v>
      </c>
    </row>
    <row r="69" spans="3:3">
      <c r="C69">
        <v>25</v>
      </c>
    </row>
    <row r="70" spans="3:3">
      <c r="C70">
        <v>25</v>
      </c>
    </row>
    <row r="71" spans="3:3">
      <c r="C71">
        <v>14</v>
      </c>
    </row>
    <row r="72" spans="3:3">
      <c r="C72">
        <v>14</v>
      </c>
    </row>
    <row r="73" spans="3:3">
      <c r="C73">
        <v>14</v>
      </c>
    </row>
    <row r="74" spans="3:3">
      <c r="C74">
        <v>14</v>
      </c>
    </row>
    <row r="75" spans="3:3">
      <c r="C75">
        <v>14</v>
      </c>
    </row>
    <row r="76" spans="3:3">
      <c r="C76">
        <v>14</v>
      </c>
    </row>
    <row r="77" spans="3:3">
      <c r="C77">
        <v>14</v>
      </c>
    </row>
    <row r="78" spans="3:3">
      <c r="C78">
        <v>14</v>
      </c>
    </row>
    <row r="79" spans="3:3">
      <c r="C79">
        <v>14</v>
      </c>
    </row>
    <row r="80" spans="3:3">
      <c r="C80">
        <v>14</v>
      </c>
    </row>
    <row r="81" spans="3:3">
      <c r="C81">
        <v>14</v>
      </c>
    </row>
    <row r="82" spans="3:3">
      <c r="C82">
        <v>14</v>
      </c>
    </row>
    <row r="83" spans="3:3">
      <c r="C83">
        <v>14</v>
      </c>
    </row>
    <row r="84" spans="3:3">
      <c r="C84">
        <v>14</v>
      </c>
    </row>
    <row r="85" spans="3:3">
      <c r="C85">
        <v>14</v>
      </c>
    </row>
    <row r="86" spans="3:3">
      <c r="C86">
        <v>14</v>
      </c>
    </row>
    <row r="87" spans="3:3">
      <c r="C87">
        <v>14</v>
      </c>
    </row>
    <row r="88" spans="3:3">
      <c r="C88">
        <v>14</v>
      </c>
    </row>
    <row r="89" spans="3:3">
      <c r="C89">
        <v>14</v>
      </c>
    </row>
    <row r="90" spans="3:3">
      <c r="C90">
        <v>14</v>
      </c>
    </row>
    <row r="91" spans="3:3">
      <c r="C91">
        <v>14</v>
      </c>
    </row>
    <row r="92" spans="3:3">
      <c r="C92">
        <v>14</v>
      </c>
    </row>
    <row r="93" spans="3:3">
      <c r="C93">
        <v>14</v>
      </c>
    </row>
    <row r="94" spans="3:3">
      <c r="C94">
        <v>14</v>
      </c>
    </row>
    <row r="95" spans="3:3">
      <c r="C95">
        <v>14</v>
      </c>
    </row>
    <row r="96" spans="3:3">
      <c r="C96">
        <v>14</v>
      </c>
    </row>
    <row r="97" spans="3:3">
      <c r="C97">
        <v>14</v>
      </c>
    </row>
    <row r="98" spans="3:3">
      <c r="C98">
        <v>14</v>
      </c>
    </row>
    <row r="99" spans="3:3">
      <c r="C99">
        <v>14</v>
      </c>
    </row>
    <row r="100" spans="3:3">
      <c r="C100">
        <v>14</v>
      </c>
    </row>
    <row r="101" spans="3:3">
      <c r="C101">
        <v>14</v>
      </c>
    </row>
    <row r="102" spans="3:3">
      <c r="C102">
        <v>14</v>
      </c>
    </row>
    <row r="103" spans="3:3">
      <c r="C103">
        <v>14</v>
      </c>
    </row>
    <row r="104" spans="3:3">
      <c r="C104">
        <v>14</v>
      </c>
    </row>
    <row r="105" spans="3:3">
      <c r="C105">
        <v>14</v>
      </c>
    </row>
    <row r="106" spans="3:3">
      <c r="C106">
        <v>3</v>
      </c>
    </row>
    <row r="107" spans="3:3">
      <c r="C107">
        <v>3</v>
      </c>
    </row>
    <row r="108" spans="3:3">
      <c r="C108">
        <v>3</v>
      </c>
    </row>
    <row r="109" spans="3:3">
      <c r="C109">
        <v>3</v>
      </c>
    </row>
    <row r="110" spans="3:3">
      <c r="C110">
        <v>3</v>
      </c>
    </row>
    <row r="111" spans="3:3">
      <c r="C111">
        <v>3</v>
      </c>
    </row>
    <row r="112" spans="3:3">
      <c r="C112">
        <v>3</v>
      </c>
    </row>
    <row r="113" spans="3:3">
      <c r="C113">
        <v>3</v>
      </c>
    </row>
    <row r="114" spans="3:3">
      <c r="C114">
        <v>3</v>
      </c>
    </row>
    <row r="115" spans="3:3">
      <c r="C115">
        <v>3</v>
      </c>
    </row>
    <row r="116" spans="3:3">
      <c r="C116">
        <v>3</v>
      </c>
    </row>
    <row r="117" spans="3:3">
      <c r="C117">
        <v>3</v>
      </c>
    </row>
    <row r="118" spans="3:3">
      <c r="C118">
        <v>3</v>
      </c>
    </row>
    <row r="119" spans="3:3">
      <c r="C119">
        <v>3</v>
      </c>
    </row>
    <row r="120" spans="3:3">
      <c r="C120">
        <v>3</v>
      </c>
    </row>
    <row r="121" spans="3:3">
      <c r="C121">
        <v>3</v>
      </c>
    </row>
    <row r="122" spans="3:3">
      <c r="C122">
        <v>3</v>
      </c>
    </row>
    <row r="123" spans="3:3">
      <c r="C123">
        <v>3</v>
      </c>
    </row>
    <row r="124" spans="3:3">
      <c r="C124">
        <v>3</v>
      </c>
    </row>
    <row r="125" spans="3:3">
      <c r="C125">
        <v>3</v>
      </c>
    </row>
    <row r="126" spans="3:3">
      <c r="C126">
        <v>3</v>
      </c>
    </row>
    <row r="127" spans="3:3">
      <c r="C127">
        <v>3</v>
      </c>
    </row>
    <row r="128" spans="3:3">
      <c r="C128">
        <v>3</v>
      </c>
    </row>
    <row r="129" spans="3:3">
      <c r="C129">
        <v>3</v>
      </c>
    </row>
    <row r="130" spans="3:3">
      <c r="C130">
        <v>3</v>
      </c>
    </row>
    <row r="131" spans="3:3">
      <c r="C131">
        <v>3</v>
      </c>
    </row>
    <row r="132" spans="3:3">
      <c r="C132">
        <v>3</v>
      </c>
    </row>
    <row r="133" spans="3:3">
      <c r="C133">
        <v>3</v>
      </c>
    </row>
    <row r="134" spans="3:3">
      <c r="C134">
        <v>3</v>
      </c>
    </row>
    <row r="135" spans="3:3">
      <c r="C135">
        <v>3</v>
      </c>
    </row>
    <row r="136" spans="3:3">
      <c r="C136">
        <v>3</v>
      </c>
    </row>
    <row r="137" spans="3:3">
      <c r="C137">
        <v>3</v>
      </c>
    </row>
    <row r="138" spans="3:3">
      <c r="C138">
        <v>3</v>
      </c>
    </row>
    <row r="139" spans="3:3">
      <c r="C139">
        <v>3</v>
      </c>
    </row>
    <row r="140" spans="3:3">
      <c r="C140">
        <v>3</v>
      </c>
    </row>
    <row r="141" spans="3:3">
      <c r="C141">
        <v>17</v>
      </c>
    </row>
    <row r="142" spans="3:3">
      <c r="C142">
        <v>17</v>
      </c>
    </row>
    <row r="143" spans="3:3">
      <c r="C143">
        <v>17</v>
      </c>
    </row>
    <row r="144" spans="3:3">
      <c r="C144">
        <v>17</v>
      </c>
    </row>
    <row r="145" spans="3:3">
      <c r="C145">
        <v>17</v>
      </c>
    </row>
    <row r="146" spans="3:3">
      <c r="C146">
        <v>17</v>
      </c>
    </row>
    <row r="147" spans="3:3">
      <c r="C147">
        <v>17</v>
      </c>
    </row>
    <row r="148" spans="3:3">
      <c r="C148">
        <v>17</v>
      </c>
    </row>
    <row r="149" spans="3:3">
      <c r="C149">
        <v>17</v>
      </c>
    </row>
    <row r="150" spans="3:3">
      <c r="C150">
        <v>17</v>
      </c>
    </row>
    <row r="151" spans="3:3">
      <c r="C151">
        <v>17</v>
      </c>
    </row>
    <row r="152" spans="3:3">
      <c r="C152">
        <v>17</v>
      </c>
    </row>
    <row r="153" spans="3:3">
      <c r="C153">
        <v>17</v>
      </c>
    </row>
    <row r="154" spans="3:3">
      <c r="C154">
        <v>17</v>
      </c>
    </row>
    <row r="155" spans="3:3">
      <c r="C155">
        <v>17</v>
      </c>
    </row>
    <row r="156" spans="3:3">
      <c r="C156">
        <v>17</v>
      </c>
    </row>
    <row r="157" spans="3:3">
      <c r="C157">
        <v>17</v>
      </c>
    </row>
    <row r="158" spans="3:3">
      <c r="C158">
        <v>17</v>
      </c>
    </row>
    <row r="159" spans="3:3">
      <c r="C159">
        <v>17</v>
      </c>
    </row>
    <row r="160" spans="3:3">
      <c r="C160">
        <v>17</v>
      </c>
    </row>
    <row r="161" spans="3:3">
      <c r="C161">
        <v>17</v>
      </c>
    </row>
    <row r="162" spans="3:3">
      <c r="C162">
        <v>17</v>
      </c>
    </row>
    <row r="163" spans="3:3">
      <c r="C163">
        <v>17</v>
      </c>
    </row>
    <row r="164" spans="3:3">
      <c r="C164">
        <v>17</v>
      </c>
    </row>
    <row r="165" spans="3:3">
      <c r="C165">
        <v>17</v>
      </c>
    </row>
    <row r="166" spans="3:3">
      <c r="C166">
        <v>17</v>
      </c>
    </row>
    <row r="167" spans="3:3">
      <c r="C167">
        <v>17</v>
      </c>
    </row>
    <row r="168" spans="3:3">
      <c r="C168">
        <v>17</v>
      </c>
    </row>
    <row r="169" spans="3:3">
      <c r="C169">
        <v>17</v>
      </c>
    </row>
    <row r="170" spans="3:3">
      <c r="C170">
        <v>17</v>
      </c>
    </row>
    <row r="171" spans="3:3">
      <c r="C171">
        <v>17</v>
      </c>
    </row>
    <row r="172" spans="3:3">
      <c r="C172">
        <v>17</v>
      </c>
    </row>
    <row r="173" spans="3:3">
      <c r="C173">
        <v>17</v>
      </c>
    </row>
    <row r="174" spans="3:3">
      <c r="C174">
        <v>17</v>
      </c>
    </row>
    <row r="175" spans="3:3">
      <c r="C175">
        <v>17</v>
      </c>
    </row>
    <row r="176" spans="3:3">
      <c r="C176">
        <v>18</v>
      </c>
    </row>
    <row r="177" spans="3:3">
      <c r="C177">
        <v>18</v>
      </c>
    </row>
    <row r="178" spans="3:3">
      <c r="C178">
        <v>18</v>
      </c>
    </row>
    <row r="179" spans="3:3">
      <c r="C179">
        <v>18</v>
      </c>
    </row>
    <row r="180" spans="3:3">
      <c r="C180">
        <v>18</v>
      </c>
    </row>
    <row r="181" spans="3:3">
      <c r="C181">
        <v>18</v>
      </c>
    </row>
    <row r="182" spans="3:3">
      <c r="C182">
        <v>18</v>
      </c>
    </row>
    <row r="183" spans="3:3">
      <c r="C183">
        <v>18</v>
      </c>
    </row>
    <row r="184" spans="3:3">
      <c r="C184">
        <v>18</v>
      </c>
    </row>
    <row r="185" spans="3:3">
      <c r="C185">
        <v>18</v>
      </c>
    </row>
    <row r="186" spans="3:3">
      <c r="C186">
        <v>18</v>
      </c>
    </row>
    <row r="187" spans="3:3">
      <c r="C187">
        <v>18</v>
      </c>
    </row>
    <row r="188" spans="3:3">
      <c r="C188">
        <v>18</v>
      </c>
    </row>
    <row r="189" spans="3:3">
      <c r="C189">
        <v>18</v>
      </c>
    </row>
    <row r="190" spans="3:3">
      <c r="C190">
        <v>18</v>
      </c>
    </row>
    <row r="191" spans="3:3">
      <c r="C191">
        <v>18</v>
      </c>
    </row>
    <row r="192" spans="3:3">
      <c r="C192">
        <v>18</v>
      </c>
    </row>
    <row r="193" spans="3:3">
      <c r="C193">
        <v>18</v>
      </c>
    </row>
    <row r="194" spans="3:3">
      <c r="C194">
        <v>18</v>
      </c>
    </row>
    <row r="195" spans="3:3">
      <c r="C195">
        <v>18</v>
      </c>
    </row>
    <row r="196" spans="3:3">
      <c r="C196">
        <v>18</v>
      </c>
    </row>
    <row r="197" spans="3:3">
      <c r="C197">
        <v>18</v>
      </c>
    </row>
    <row r="198" spans="3:3">
      <c r="C198">
        <v>18</v>
      </c>
    </row>
    <row r="199" spans="3:3">
      <c r="C199">
        <v>18</v>
      </c>
    </row>
    <row r="200" spans="3:3">
      <c r="C200">
        <v>18</v>
      </c>
    </row>
    <row r="201" spans="3:3">
      <c r="C201">
        <v>18</v>
      </c>
    </row>
    <row r="202" spans="3:3">
      <c r="C202">
        <v>18</v>
      </c>
    </row>
    <row r="203" spans="3:3">
      <c r="C203">
        <v>18</v>
      </c>
    </row>
    <row r="204" spans="3:3">
      <c r="C204">
        <v>18</v>
      </c>
    </row>
    <row r="205" spans="3:3">
      <c r="C205">
        <v>18</v>
      </c>
    </row>
    <row r="206" spans="3:3">
      <c r="C206">
        <v>18</v>
      </c>
    </row>
    <row r="207" spans="3:3">
      <c r="C207">
        <v>18</v>
      </c>
    </row>
    <row r="208" spans="3:3">
      <c r="C208">
        <v>18</v>
      </c>
    </row>
    <row r="209" spans="3:3">
      <c r="C209">
        <v>18</v>
      </c>
    </row>
    <row r="210" spans="3:3">
      <c r="C210">
        <v>18</v>
      </c>
    </row>
    <row r="211" spans="3:3">
      <c r="C211">
        <v>5</v>
      </c>
    </row>
    <row r="212" spans="3:3">
      <c r="C212">
        <v>5</v>
      </c>
    </row>
    <row r="213" spans="3:3">
      <c r="C213">
        <v>5</v>
      </c>
    </row>
    <row r="214" spans="3:3">
      <c r="C214">
        <v>5</v>
      </c>
    </row>
    <row r="215" spans="3:3">
      <c r="C215">
        <v>5</v>
      </c>
    </row>
    <row r="216" spans="3:3">
      <c r="C216">
        <v>5</v>
      </c>
    </row>
    <row r="217" spans="3:3">
      <c r="C217">
        <v>5</v>
      </c>
    </row>
    <row r="218" spans="3:3">
      <c r="C218">
        <v>5</v>
      </c>
    </row>
    <row r="219" spans="3:3">
      <c r="C219">
        <v>5</v>
      </c>
    </row>
    <row r="220" spans="3:3">
      <c r="C220">
        <v>5</v>
      </c>
    </row>
    <row r="221" spans="3:3">
      <c r="C221">
        <v>5</v>
      </c>
    </row>
    <row r="222" spans="3:3">
      <c r="C222">
        <v>5</v>
      </c>
    </row>
    <row r="223" spans="3:3">
      <c r="C223">
        <v>5</v>
      </c>
    </row>
    <row r="224" spans="3:3">
      <c r="C224">
        <v>5</v>
      </c>
    </row>
    <row r="225" spans="3:3">
      <c r="C225">
        <v>5</v>
      </c>
    </row>
    <row r="226" spans="3:3">
      <c r="C226">
        <v>5</v>
      </c>
    </row>
    <row r="227" spans="3:3">
      <c r="C227">
        <v>5</v>
      </c>
    </row>
    <row r="228" spans="3:3">
      <c r="C228">
        <v>5</v>
      </c>
    </row>
    <row r="229" spans="3:3">
      <c r="C229">
        <v>5</v>
      </c>
    </row>
    <row r="230" spans="3:3">
      <c r="C230">
        <v>5</v>
      </c>
    </row>
    <row r="231" spans="3:3">
      <c r="C231">
        <v>5</v>
      </c>
    </row>
    <row r="232" spans="3:3">
      <c r="C232">
        <v>5</v>
      </c>
    </row>
    <row r="233" spans="3:3">
      <c r="C233">
        <v>5</v>
      </c>
    </row>
    <row r="234" spans="3:3">
      <c r="C234">
        <v>5</v>
      </c>
    </row>
    <row r="235" spans="3:3">
      <c r="C235">
        <v>5</v>
      </c>
    </row>
    <row r="236" spans="3:3">
      <c r="C236">
        <v>5</v>
      </c>
    </row>
    <row r="237" spans="3:3">
      <c r="C237">
        <v>5</v>
      </c>
    </row>
    <row r="238" spans="3:3">
      <c r="C238">
        <v>5</v>
      </c>
    </row>
    <row r="239" spans="3:3">
      <c r="C239">
        <v>5</v>
      </c>
    </row>
    <row r="240" spans="3:3">
      <c r="C240">
        <v>5</v>
      </c>
    </row>
    <row r="241" spans="3:3">
      <c r="C241">
        <v>5</v>
      </c>
    </row>
    <row r="242" spans="3:3">
      <c r="C242">
        <v>5</v>
      </c>
    </row>
    <row r="243" spans="3:3">
      <c r="C243">
        <v>5</v>
      </c>
    </row>
    <row r="244" spans="3:3">
      <c r="C244">
        <v>5</v>
      </c>
    </row>
    <row r="245" spans="3:3">
      <c r="C245">
        <v>5</v>
      </c>
    </row>
    <row r="246" spans="3:3">
      <c r="C246">
        <v>19</v>
      </c>
    </row>
    <row r="247" spans="3:3">
      <c r="C247">
        <v>19</v>
      </c>
    </row>
    <row r="248" spans="3:3">
      <c r="C248">
        <v>19</v>
      </c>
    </row>
    <row r="249" spans="3:3">
      <c r="C249">
        <v>19</v>
      </c>
    </row>
    <row r="250" spans="3:3">
      <c r="C250">
        <v>19</v>
      </c>
    </row>
    <row r="251" spans="3:3">
      <c r="C251">
        <v>19</v>
      </c>
    </row>
    <row r="252" spans="3:3">
      <c r="C252">
        <v>19</v>
      </c>
    </row>
    <row r="253" spans="3:3">
      <c r="C253">
        <v>19</v>
      </c>
    </row>
    <row r="254" spans="3:3">
      <c r="C254">
        <v>19</v>
      </c>
    </row>
    <row r="255" spans="3:3">
      <c r="C255">
        <v>19</v>
      </c>
    </row>
    <row r="256" spans="3:3">
      <c r="C256">
        <v>19</v>
      </c>
    </row>
    <row r="257" spans="3:3">
      <c r="C257">
        <v>19</v>
      </c>
    </row>
    <row r="258" spans="3:3">
      <c r="C258">
        <v>19</v>
      </c>
    </row>
    <row r="259" spans="3:3">
      <c r="C259">
        <v>19</v>
      </c>
    </row>
    <row r="260" spans="3:3">
      <c r="C260">
        <v>19</v>
      </c>
    </row>
    <row r="261" spans="3:3">
      <c r="C261">
        <v>19</v>
      </c>
    </row>
    <row r="262" spans="3:3">
      <c r="C262">
        <v>19</v>
      </c>
    </row>
    <row r="263" spans="3:3">
      <c r="C263">
        <v>19</v>
      </c>
    </row>
    <row r="264" spans="3:3">
      <c r="C264">
        <v>19</v>
      </c>
    </row>
    <row r="265" spans="3:3">
      <c r="C265">
        <v>19</v>
      </c>
    </row>
    <row r="266" spans="3:3">
      <c r="C266">
        <v>19</v>
      </c>
    </row>
    <row r="267" spans="3:3">
      <c r="C267">
        <v>19</v>
      </c>
    </row>
    <row r="268" spans="3:3">
      <c r="C268">
        <v>19</v>
      </c>
    </row>
    <row r="269" spans="3:3">
      <c r="C269">
        <v>19</v>
      </c>
    </row>
    <row r="270" spans="3:3">
      <c r="C270">
        <v>19</v>
      </c>
    </row>
    <row r="271" spans="3:3">
      <c r="C271">
        <v>19</v>
      </c>
    </row>
    <row r="272" spans="3:3">
      <c r="C272">
        <v>19</v>
      </c>
    </row>
    <row r="273" spans="3:3">
      <c r="C273">
        <v>19</v>
      </c>
    </row>
    <row r="274" spans="3:3">
      <c r="C274">
        <v>19</v>
      </c>
    </row>
    <row r="275" spans="3:3">
      <c r="C275">
        <v>19</v>
      </c>
    </row>
    <row r="276" spans="3:3">
      <c r="C276">
        <v>19</v>
      </c>
    </row>
    <row r="277" spans="3:3">
      <c r="C277">
        <v>19</v>
      </c>
    </row>
    <row r="278" spans="3:3">
      <c r="C278">
        <v>19</v>
      </c>
    </row>
    <row r="279" spans="3:3">
      <c r="C279">
        <v>19</v>
      </c>
    </row>
    <row r="280" spans="3:3">
      <c r="C280">
        <v>19</v>
      </c>
    </row>
    <row r="281" spans="3:3">
      <c r="C281">
        <v>22</v>
      </c>
    </row>
    <row r="282" spans="3:3">
      <c r="C282">
        <v>22</v>
      </c>
    </row>
    <row r="283" spans="3:3">
      <c r="C283">
        <v>22</v>
      </c>
    </row>
    <row r="284" spans="3:3">
      <c r="C284">
        <v>22</v>
      </c>
    </row>
    <row r="285" spans="3:3">
      <c r="C285">
        <v>22</v>
      </c>
    </row>
    <row r="286" spans="3:3">
      <c r="C286">
        <v>22</v>
      </c>
    </row>
    <row r="287" spans="3:3">
      <c r="C287">
        <v>22</v>
      </c>
    </row>
    <row r="288" spans="3:3">
      <c r="C288">
        <v>22</v>
      </c>
    </row>
    <row r="289" spans="3:3">
      <c r="C289">
        <v>22</v>
      </c>
    </row>
    <row r="290" spans="3:3">
      <c r="C290">
        <v>22</v>
      </c>
    </row>
    <row r="291" spans="3:3">
      <c r="C291">
        <v>22</v>
      </c>
    </row>
    <row r="292" spans="3:3">
      <c r="C292">
        <v>22</v>
      </c>
    </row>
    <row r="293" spans="3:3">
      <c r="C293">
        <v>22</v>
      </c>
    </row>
    <row r="294" spans="3:3">
      <c r="C294">
        <v>22</v>
      </c>
    </row>
    <row r="295" spans="3:3">
      <c r="C295">
        <v>22</v>
      </c>
    </row>
    <row r="296" spans="3:3">
      <c r="C296">
        <v>22</v>
      </c>
    </row>
    <row r="297" spans="3:3">
      <c r="C297">
        <v>22</v>
      </c>
    </row>
    <row r="298" spans="3:3">
      <c r="C298">
        <v>22</v>
      </c>
    </row>
    <row r="299" spans="3:3">
      <c r="C299">
        <v>22</v>
      </c>
    </row>
    <row r="300" spans="3:3">
      <c r="C300">
        <v>22</v>
      </c>
    </row>
    <row r="301" spans="3:3">
      <c r="C301">
        <v>22</v>
      </c>
    </row>
    <row r="302" spans="3:3">
      <c r="C302">
        <v>22</v>
      </c>
    </row>
    <row r="303" spans="3:3">
      <c r="C303">
        <v>22</v>
      </c>
    </row>
    <row r="304" spans="3:3">
      <c r="C304">
        <v>22</v>
      </c>
    </row>
    <row r="305" spans="3:3">
      <c r="C305">
        <v>22</v>
      </c>
    </row>
    <row r="306" spans="3:3">
      <c r="C306">
        <v>22</v>
      </c>
    </row>
    <row r="307" spans="3:3">
      <c r="C307">
        <v>22</v>
      </c>
    </row>
    <row r="308" spans="3:3">
      <c r="C308">
        <v>22</v>
      </c>
    </row>
    <row r="309" spans="3:3">
      <c r="C309">
        <v>22</v>
      </c>
    </row>
    <row r="310" spans="3:3">
      <c r="C310">
        <v>22</v>
      </c>
    </row>
    <row r="311" spans="3:3">
      <c r="C311">
        <v>22</v>
      </c>
    </row>
    <row r="312" spans="3:3">
      <c r="C312">
        <v>22</v>
      </c>
    </row>
    <row r="313" spans="3:3">
      <c r="C313">
        <v>22</v>
      </c>
    </row>
    <row r="314" spans="3:3">
      <c r="C314">
        <v>22</v>
      </c>
    </row>
    <row r="315" spans="3:3">
      <c r="C315">
        <v>22</v>
      </c>
    </row>
    <row r="316" spans="3:3">
      <c r="C316">
        <v>15</v>
      </c>
    </row>
    <row r="317" spans="3:3">
      <c r="C317">
        <v>15</v>
      </c>
    </row>
    <row r="318" spans="3:3">
      <c r="C318">
        <v>15</v>
      </c>
    </row>
    <row r="319" spans="3:3">
      <c r="C319">
        <v>15</v>
      </c>
    </row>
    <row r="320" spans="3:3">
      <c r="C320">
        <v>15</v>
      </c>
    </row>
    <row r="321" spans="3:3">
      <c r="C321">
        <v>15</v>
      </c>
    </row>
    <row r="322" spans="3:3">
      <c r="C322">
        <v>15</v>
      </c>
    </row>
    <row r="323" spans="3:3">
      <c r="C323">
        <v>15</v>
      </c>
    </row>
    <row r="324" spans="3:3">
      <c r="C324">
        <v>15</v>
      </c>
    </row>
    <row r="325" spans="3:3">
      <c r="C325">
        <v>15</v>
      </c>
    </row>
    <row r="326" spans="3:3">
      <c r="C326">
        <v>15</v>
      </c>
    </row>
    <row r="327" spans="3:3">
      <c r="C327">
        <v>15</v>
      </c>
    </row>
    <row r="328" spans="3:3">
      <c r="C328">
        <v>15</v>
      </c>
    </row>
    <row r="329" spans="3:3">
      <c r="C329">
        <v>15</v>
      </c>
    </row>
    <row r="330" spans="3:3">
      <c r="C330">
        <v>15</v>
      </c>
    </row>
    <row r="331" spans="3:3">
      <c r="C331">
        <v>15</v>
      </c>
    </row>
    <row r="332" spans="3:3">
      <c r="C332">
        <v>15</v>
      </c>
    </row>
    <row r="333" spans="3:3">
      <c r="C333">
        <v>15</v>
      </c>
    </row>
    <row r="334" spans="3:3">
      <c r="C334">
        <v>15</v>
      </c>
    </row>
    <row r="335" spans="3:3">
      <c r="C335">
        <v>15</v>
      </c>
    </row>
    <row r="336" spans="3:3">
      <c r="C336">
        <v>15</v>
      </c>
    </row>
    <row r="337" spans="3:3">
      <c r="C337">
        <v>15</v>
      </c>
    </row>
    <row r="338" spans="3:3">
      <c r="C338">
        <v>15</v>
      </c>
    </row>
    <row r="339" spans="3:3">
      <c r="C339">
        <v>15</v>
      </c>
    </row>
    <row r="340" spans="3:3">
      <c r="C340">
        <v>15</v>
      </c>
    </row>
    <row r="341" spans="3:3">
      <c r="C341">
        <v>15</v>
      </c>
    </row>
    <row r="342" spans="3:3">
      <c r="C342">
        <v>15</v>
      </c>
    </row>
    <row r="343" spans="3:3">
      <c r="C343">
        <v>15</v>
      </c>
    </row>
    <row r="344" spans="3:3">
      <c r="C344">
        <v>15</v>
      </c>
    </row>
    <row r="345" spans="3:3">
      <c r="C345">
        <v>15</v>
      </c>
    </row>
    <row r="346" spans="3:3">
      <c r="C346">
        <v>15</v>
      </c>
    </row>
    <row r="347" spans="3:3">
      <c r="C347">
        <v>15</v>
      </c>
    </row>
    <row r="348" spans="3:3">
      <c r="C348">
        <v>15</v>
      </c>
    </row>
    <row r="349" spans="3:3">
      <c r="C349">
        <v>15</v>
      </c>
    </row>
    <row r="350" spans="3:3">
      <c r="C350">
        <v>15</v>
      </c>
    </row>
    <row r="351" spans="3:3">
      <c r="C351">
        <v>6</v>
      </c>
    </row>
    <row r="352" spans="3:3">
      <c r="C352">
        <v>6</v>
      </c>
    </row>
    <row r="353" spans="3:3">
      <c r="C353">
        <v>6</v>
      </c>
    </row>
    <row r="354" spans="3:3">
      <c r="C354">
        <v>6</v>
      </c>
    </row>
    <row r="355" spans="3:3">
      <c r="C355">
        <v>6</v>
      </c>
    </row>
    <row r="356" spans="3:3">
      <c r="C356">
        <v>6</v>
      </c>
    </row>
    <row r="357" spans="3:3">
      <c r="C357">
        <v>6</v>
      </c>
    </row>
    <row r="358" spans="3:3">
      <c r="C358">
        <v>6</v>
      </c>
    </row>
    <row r="359" spans="3:3">
      <c r="C359">
        <v>6</v>
      </c>
    </row>
    <row r="360" spans="3:3">
      <c r="C360">
        <v>6</v>
      </c>
    </row>
    <row r="361" spans="3:3">
      <c r="C361">
        <v>6</v>
      </c>
    </row>
    <row r="362" spans="3:3">
      <c r="C362">
        <v>6</v>
      </c>
    </row>
    <row r="363" spans="3:3">
      <c r="C363">
        <v>6</v>
      </c>
    </row>
    <row r="364" spans="3:3">
      <c r="C364">
        <v>6</v>
      </c>
    </row>
    <row r="365" spans="3:3">
      <c r="C365">
        <v>6</v>
      </c>
    </row>
    <row r="366" spans="3:3">
      <c r="C366">
        <v>6</v>
      </c>
    </row>
    <row r="367" spans="3:3">
      <c r="C367">
        <v>6</v>
      </c>
    </row>
    <row r="368" spans="3:3">
      <c r="C368">
        <v>6</v>
      </c>
    </row>
    <row r="369" spans="3:3">
      <c r="C369">
        <v>6</v>
      </c>
    </row>
    <row r="370" spans="3:3">
      <c r="C370">
        <v>6</v>
      </c>
    </row>
    <row r="371" spans="3:3">
      <c r="C371">
        <v>6</v>
      </c>
    </row>
    <row r="372" spans="3:3">
      <c r="C372">
        <v>6</v>
      </c>
    </row>
    <row r="373" spans="3:3">
      <c r="C373">
        <v>6</v>
      </c>
    </row>
    <row r="374" spans="3:3">
      <c r="C374">
        <v>6</v>
      </c>
    </row>
    <row r="375" spans="3:3">
      <c r="C375">
        <v>6</v>
      </c>
    </row>
    <row r="376" spans="3:3">
      <c r="C376">
        <v>6</v>
      </c>
    </row>
    <row r="377" spans="3:3">
      <c r="C377">
        <v>6</v>
      </c>
    </row>
    <row r="378" spans="3:3">
      <c r="C378">
        <v>6</v>
      </c>
    </row>
    <row r="379" spans="3:3">
      <c r="C379">
        <v>6</v>
      </c>
    </row>
    <row r="380" spans="3:3">
      <c r="C380">
        <v>6</v>
      </c>
    </row>
    <row r="381" spans="3:3">
      <c r="C381">
        <v>6</v>
      </c>
    </row>
    <row r="382" spans="3:3">
      <c r="C382">
        <v>6</v>
      </c>
    </row>
    <row r="383" spans="3:3">
      <c r="C383">
        <v>6</v>
      </c>
    </row>
    <row r="384" spans="3:3">
      <c r="C384">
        <v>6</v>
      </c>
    </row>
    <row r="385" spans="3:3">
      <c r="C385">
        <v>6</v>
      </c>
    </row>
    <row r="386" spans="3:3">
      <c r="C386">
        <v>16</v>
      </c>
    </row>
    <row r="387" spans="3:3">
      <c r="C387">
        <v>16</v>
      </c>
    </row>
    <row r="388" spans="3:3">
      <c r="C388">
        <v>16</v>
      </c>
    </row>
    <row r="389" spans="3:3">
      <c r="C389">
        <v>16</v>
      </c>
    </row>
    <row r="390" spans="3:3">
      <c r="C390">
        <v>16</v>
      </c>
    </row>
    <row r="391" spans="3:3">
      <c r="C391">
        <v>16</v>
      </c>
    </row>
    <row r="392" spans="3:3">
      <c r="C392">
        <v>16</v>
      </c>
    </row>
    <row r="393" spans="3:3">
      <c r="C393">
        <v>16</v>
      </c>
    </row>
    <row r="394" spans="3:3">
      <c r="C394">
        <v>16</v>
      </c>
    </row>
    <row r="395" spans="3:3">
      <c r="C395">
        <v>16</v>
      </c>
    </row>
    <row r="396" spans="3:3">
      <c r="C396">
        <v>16</v>
      </c>
    </row>
    <row r="397" spans="3:3">
      <c r="C397">
        <v>16</v>
      </c>
    </row>
    <row r="398" spans="3:3">
      <c r="C398">
        <v>16</v>
      </c>
    </row>
    <row r="399" spans="3:3">
      <c r="C399">
        <v>16</v>
      </c>
    </row>
    <row r="400" spans="3:3">
      <c r="C400">
        <v>16</v>
      </c>
    </row>
    <row r="401" spans="3:3">
      <c r="C401">
        <v>16</v>
      </c>
    </row>
    <row r="402" spans="3:3">
      <c r="C402">
        <v>16</v>
      </c>
    </row>
    <row r="403" spans="3:3">
      <c r="C403">
        <v>16</v>
      </c>
    </row>
    <row r="404" spans="3:3">
      <c r="C404">
        <v>16</v>
      </c>
    </row>
    <row r="405" spans="3:3">
      <c r="C405">
        <v>16</v>
      </c>
    </row>
    <row r="406" spans="3:3">
      <c r="C406">
        <v>16</v>
      </c>
    </row>
    <row r="407" spans="3:3">
      <c r="C407">
        <v>16</v>
      </c>
    </row>
    <row r="408" spans="3:3">
      <c r="C408">
        <v>16</v>
      </c>
    </row>
    <row r="409" spans="3:3">
      <c r="C409">
        <v>16</v>
      </c>
    </row>
    <row r="410" spans="3:3">
      <c r="C410">
        <v>16</v>
      </c>
    </row>
    <row r="411" spans="3:3">
      <c r="C411">
        <v>16</v>
      </c>
    </row>
    <row r="412" spans="3:3">
      <c r="C412">
        <v>16</v>
      </c>
    </row>
    <row r="413" spans="3:3">
      <c r="C413">
        <v>16</v>
      </c>
    </row>
    <row r="414" spans="3:3">
      <c r="C414">
        <v>16</v>
      </c>
    </row>
    <row r="415" spans="3:3">
      <c r="C415">
        <v>16</v>
      </c>
    </row>
    <row r="416" spans="3:3">
      <c r="C416">
        <v>16</v>
      </c>
    </row>
    <row r="417" spans="3:3">
      <c r="C417">
        <v>16</v>
      </c>
    </row>
    <row r="418" spans="3:3">
      <c r="C418">
        <v>16</v>
      </c>
    </row>
    <row r="419" spans="3:3">
      <c r="C419">
        <v>16</v>
      </c>
    </row>
    <row r="420" spans="3:3">
      <c r="C420">
        <v>16</v>
      </c>
    </row>
    <row r="421" spans="3:3">
      <c r="C421">
        <v>13</v>
      </c>
    </row>
    <row r="422" spans="3:3">
      <c r="C422">
        <v>13</v>
      </c>
    </row>
    <row r="423" spans="3:3">
      <c r="C423">
        <v>13</v>
      </c>
    </row>
    <row r="424" spans="3:3">
      <c r="C424">
        <v>13</v>
      </c>
    </row>
    <row r="425" spans="3:3">
      <c r="C425">
        <v>13</v>
      </c>
    </row>
    <row r="426" spans="3:3">
      <c r="C426">
        <v>13</v>
      </c>
    </row>
    <row r="427" spans="3:3">
      <c r="C427">
        <v>13</v>
      </c>
    </row>
    <row r="428" spans="3:3">
      <c r="C428">
        <v>13</v>
      </c>
    </row>
    <row r="429" spans="3:3">
      <c r="C429">
        <v>13</v>
      </c>
    </row>
    <row r="430" spans="3:3">
      <c r="C430">
        <v>13</v>
      </c>
    </row>
    <row r="431" spans="3:3">
      <c r="C431">
        <v>13</v>
      </c>
    </row>
    <row r="432" spans="3:3">
      <c r="C432">
        <v>13</v>
      </c>
    </row>
    <row r="433" spans="3:3">
      <c r="C433">
        <v>13</v>
      </c>
    </row>
    <row r="434" spans="3:3">
      <c r="C434">
        <v>13</v>
      </c>
    </row>
    <row r="435" spans="3:3">
      <c r="C435">
        <v>13</v>
      </c>
    </row>
    <row r="436" spans="3:3">
      <c r="C436">
        <v>13</v>
      </c>
    </row>
    <row r="437" spans="3:3">
      <c r="C437">
        <v>13</v>
      </c>
    </row>
    <row r="438" spans="3:3">
      <c r="C438">
        <v>13</v>
      </c>
    </row>
    <row r="439" spans="3:3">
      <c r="C439">
        <v>13</v>
      </c>
    </row>
    <row r="440" spans="3:3">
      <c r="C440">
        <v>13</v>
      </c>
    </row>
    <row r="441" spans="3:3">
      <c r="C441">
        <v>13</v>
      </c>
    </row>
    <row r="442" spans="3:3">
      <c r="C442">
        <v>13</v>
      </c>
    </row>
    <row r="443" spans="3:3">
      <c r="C443">
        <v>13</v>
      </c>
    </row>
    <row r="444" spans="3:3">
      <c r="C444">
        <v>13</v>
      </c>
    </row>
    <row r="445" spans="3:3">
      <c r="C445">
        <v>13</v>
      </c>
    </row>
    <row r="446" spans="3:3">
      <c r="C446">
        <v>13</v>
      </c>
    </row>
    <row r="447" spans="3:3">
      <c r="C447">
        <v>13</v>
      </c>
    </row>
    <row r="448" spans="3:3">
      <c r="C448">
        <v>13</v>
      </c>
    </row>
    <row r="449" spans="3:3">
      <c r="C449">
        <v>13</v>
      </c>
    </row>
    <row r="450" spans="3:3">
      <c r="C450">
        <v>13</v>
      </c>
    </row>
    <row r="451" spans="3:3">
      <c r="C451">
        <v>13</v>
      </c>
    </row>
    <row r="452" spans="3:3">
      <c r="C452">
        <v>13</v>
      </c>
    </row>
    <row r="453" spans="3:3">
      <c r="C453">
        <v>13</v>
      </c>
    </row>
    <row r="454" spans="3:3">
      <c r="C454">
        <v>13</v>
      </c>
    </row>
    <row r="455" spans="3:3">
      <c r="C455">
        <v>13</v>
      </c>
    </row>
    <row r="456" spans="3:3">
      <c r="C456">
        <v>7</v>
      </c>
    </row>
    <row r="457" spans="3:3">
      <c r="C457">
        <v>7</v>
      </c>
    </row>
    <row r="458" spans="3:3">
      <c r="C458">
        <v>7</v>
      </c>
    </row>
    <row r="459" spans="3:3">
      <c r="C459">
        <v>7</v>
      </c>
    </row>
    <row r="460" spans="3:3">
      <c r="C460">
        <v>7</v>
      </c>
    </row>
    <row r="461" spans="3:3">
      <c r="C461">
        <v>7</v>
      </c>
    </row>
    <row r="462" spans="3:3">
      <c r="C462">
        <v>7</v>
      </c>
    </row>
    <row r="463" spans="3:3">
      <c r="C463">
        <v>7</v>
      </c>
    </row>
    <row r="464" spans="3:3">
      <c r="C464">
        <v>7</v>
      </c>
    </row>
    <row r="465" spans="3:3">
      <c r="C465">
        <v>7</v>
      </c>
    </row>
    <row r="466" spans="3:3">
      <c r="C466">
        <v>7</v>
      </c>
    </row>
    <row r="467" spans="3:3">
      <c r="C467">
        <v>7</v>
      </c>
    </row>
    <row r="468" spans="3:3">
      <c r="C468">
        <v>7</v>
      </c>
    </row>
    <row r="469" spans="3:3">
      <c r="C469">
        <v>7</v>
      </c>
    </row>
    <row r="470" spans="3:3">
      <c r="C470">
        <v>7</v>
      </c>
    </row>
    <row r="471" spans="3:3">
      <c r="C471">
        <v>7</v>
      </c>
    </row>
    <row r="472" spans="3:3">
      <c r="C472">
        <v>7</v>
      </c>
    </row>
    <row r="473" spans="3:3">
      <c r="C473">
        <v>7</v>
      </c>
    </row>
    <row r="474" spans="3:3">
      <c r="C474">
        <v>7</v>
      </c>
    </row>
    <row r="475" spans="3:3">
      <c r="C475">
        <v>7</v>
      </c>
    </row>
    <row r="476" spans="3:3">
      <c r="C476">
        <v>7</v>
      </c>
    </row>
    <row r="477" spans="3:3">
      <c r="C477">
        <v>7</v>
      </c>
    </row>
    <row r="478" spans="3:3">
      <c r="C478">
        <v>7</v>
      </c>
    </row>
    <row r="479" spans="3:3">
      <c r="C479">
        <v>7</v>
      </c>
    </row>
    <row r="480" spans="3:3">
      <c r="C480">
        <v>7</v>
      </c>
    </row>
    <row r="481" spans="3:3">
      <c r="C481">
        <v>7</v>
      </c>
    </row>
    <row r="482" spans="3:3">
      <c r="C482">
        <v>7</v>
      </c>
    </row>
    <row r="483" spans="3:3">
      <c r="C483">
        <v>7</v>
      </c>
    </row>
    <row r="484" spans="3:3">
      <c r="C484">
        <v>7</v>
      </c>
    </row>
    <row r="485" spans="3:3">
      <c r="C485">
        <v>7</v>
      </c>
    </row>
    <row r="486" spans="3:3">
      <c r="C486">
        <v>7</v>
      </c>
    </row>
    <row r="487" spans="3:3">
      <c r="C487">
        <v>7</v>
      </c>
    </row>
    <row r="488" spans="3:3">
      <c r="C488">
        <v>7</v>
      </c>
    </row>
    <row r="489" spans="3:3">
      <c r="C489">
        <v>7</v>
      </c>
    </row>
    <row r="490" spans="3:3">
      <c r="C490">
        <v>7</v>
      </c>
    </row>
    <row r="491" spans="3:3">
      <c r="C491">
        <v>23</v>
      </c>
    </row>
    <row r="492" spans="3:3">
      <c r="C492">
        <v>23</v>
      </c>
    </row>
    <row r="493" spans="3:3">
      <c r="C493">
        <v>23</v>
      </c>
    </row>
    <row r="494" spans="3:3">
      <c r="C494">
        <v>23</v>
      </c>
    </row>
    <row r="495" spans="3:3">
      <c r="C495">
        <v>23</v>
      </c>
    </row>
    <row r="496" spans="3:3">
      <c r="C496">
        <v>23</v>
      </c>
    </row>
    <row r="497" spans="3:3">
      <c r="C497">
        <v>23</v>
      </c>
    </row>
    <row r="498" spans="3:3">
      <c r="C498">
        <v>23</v>
      </c>
    </row>
    <row r="499" spans="3:3">
      <c r="C499">
        <v>23</v>
      </c>
    </row>
    <row r="500" spans="3:3">
      <c r="C500">
        <v>23</v>
      </c>
    </row>
    <row r="501" spans="3:3">
      <c r="C501">
        <v>23</v>
      </c>
    </row>
    <row r="502" spans="3:3">
      <c r="C502">
        <v>23</v>
      </c>
    </row>
    <row r="503" spans="3:3">
      <c r="C503">
        <v>23</v>
      </c>
    </row>
    <row r="504" spans="3:3">
      <c r="C504">
        <v>23</v>
      </c>
    </row>
    <row r="505" spans="3:3">
      <c r="C505">
        <v>23</v>
      </c>
    </row>
    <row r="506" spans="3:3">
      <c r="C506">
        <v>23</v>
      </c>
    </row>
    <row r="507" spans="3:3">
      <c r="C507">
        <v>23</v>
      </c>
    </row>
    <row r="508" spans="3:3">
      <c r="C508">
        <v>23</v>
      </c>
    </row>
    <row r="509" spans="3:3">
      <c r="C509">
        <v>23</v>
      </c>
    </row>
    <row r="510" spans="3:3">
      <c r="C510">
        <v>23</v>
      </c>
    </row>
    <row r="511" spans="3:3">
      <c r="C511">
        <v>23</v>
      </c>
    </row>
    <row r="512" spans="3:3">
      <c r="C512">
        <v>23</v>
      </c>
    </row>
    <row r="513" spans="3:3">
      <c r="C513">
        <v>23</v>
      </c>
    </row>
    <row r="514" spans="3:3">
      <c r="C514">
        <v>23</v>
      </c>
    </row>
    <row r="515" spans="3:3">
      <c r="C515">
        <v>23</v>
      </c>
    </row>
    <row r="516" spans="3:3">
      <c r="C516">
        <v>23</v>
      </c>
    </row>
    <row r="517" spans="3:3">
      <c r="C517">
        <v>23</v>
      </c>
    </row>
    <row r="518" spans="3:3">
      <c r="C518">
        <v>23</v>
      </c>
    </row>
    <row r="519" spans="3:3">
      <c r="C519">
        <v>23</v>
      </c>
    </row>
    <row r="520" spans="3:3">
      <c r="C520">
        <v>23</v>
      </c>
    </row>
    <row r="521" spans="3:3">
      <c r="C521">
        <v>23</v>
      </c>
    </row>
    <row r="522" spans="3:3">
      <c r="C522">
        <v>23</v>
      </c>
    </row>
    <row r="523" spans="3:3">
      <c r="C523">
        <v>23</v>
      </c>
    </row>
    <row r="524" spans="3:3">
      <c r="C524">
        <v>23</v>
      </c>
    </row>
    <row r="525" spans="3:3">
      <c r="C525">
        <v>23</v>
      </c>
    </row>
    <row r="526" spans="3:3">
      <c r="C526">
        <v>21</v>
      </c>
    </row>
    <row r="527" spans="3:3">
      <c r="C527">
        <v>21</v>
      </c>
    </row>
    <row r="528" spans="3:3">
      <c r="C528">
        <v>21</v>
      </c>
    </row>
    <row r="529" spans="3:3">
      <c r="C529">
        <v>21</v>
      </c>
    </row>
    <row r="530" spans="3:3">
      <c r="C530">
        <v>21</v>
      </c>
    </row>
    <row r="531" spans="3:3">
      <c r="C531">
        <v>21</v>
      </c>
    </row>
    <row r="532" spans="3:3">
      <c r="C532">
        <v>21</v>
      </c>
    </row>
    <row r="533" spans="3:3">
      <c r="C533">
        <v>21</v>
      </c>
    </row>
    <row r="534" spans="3:3">
      <c r="C534">
        <v>21</v>
      </c>
    </row>
    <row r="535" spans="3:3">
      <c r="C535">
        <v>21</v>
      </c>
    </row>
    <row r="536" spans="3:3">
      <c r="C536">
        <v>21</v>
      </c>
    </row>
    <row r="537" spans="3:3">
      <c r="C537">
        <v>21</v>
      </c>
    </row>
    <row r="538" spans="3:3">
      <c r="C538">
        <v>21</v>
      </c>
    </row>
    <row r="539" spans="3:3">
      <c r="C539">
        <v>21</v>
      </c>
    </row>
    <row r="540" spans="3:3">
      <c r="C540">
        <v>21</v>
      </c>
    </row>
    <row r="541" spans="3:3">
      <c r="C541">
        <v>21</v>
      </c>
    </row>
    <row r="542" spans="3:3">
      <c r="C542">
        <v>21</v>
      </c>
    </row>
    <row r="543" spans="3:3">
      <c r="C543">
        <v>21</v>
      </c>
    </row>
    <row r="544" spans="3:3">
      <c r="C544">
        <v>21</v>
      </c>
    </row>
    <row r="545" spans="3:3">
      <c r="C545">
        <v>21</v>
      </c>
    </row>
    <row r="546" spans="3:3">
      <c r="C546">
        <v>21</v>
      </c>
    </row>
    <row r="547" spans="3:3">
      <c r="C547">
        <v>21</v>
      </c>
    </row>
    <row r="548" spans="3:3">
      <c r="C548">
        <v>21</v>
      </c>
    </row>
    <row r="549" spans="3:3">
      <c r="C549">
        <v>21</v>
      </c>
    </row>
    <row r="550" spans="3:3">
      <c r="C550">
        <v>21</v>
      </c>
    </row>
    <row r="551" spans="3:3">
      <c r="C551">
        <v>21</v>
      </c>
    </row>
    <row r="552" spans="3:3">
      <c r="C552">
        <v>21</v>
      </c>
    </row>
    <row r="553" spans="3:3">
      <c r="C553">
        <v>21</v>
      </c>
    </row>
    <row r="554" spans="3:3">
      <c r="C554">
        <v>21</v>
      </c>
    </row>
    <row r="555" spans="3:3">
      <c r="C555">
        <v>21</v>
      </c>
    </row>
    <row r="556" spans="3:3">
      <c r="C556">
        <v>21</v>
      </c>
    </row>
    <row r="557" spans="3:3">
      <c r="C557">
        <v>21</v>
      </c>
    </row>
    <row r="558" spans="3:3">
      <c r="C558">
        <v>21</v>
      </c>
    </row>
    <row r="559" spans="3:3">
      <c r="C559">
        <v>21</v>
      </c>
    </row>
    <row r="560" spans="3:3">
      <c r="C560">
        <v>21</v>
      </c>
    </row>
    <row r="561" spans="3:3">
      <c r="C561">
        <v>9</v>
      </c>
    </row>
    <row r="562" spans="3:3">
      <c r="C562">
        <v>9</v>
      </c>
    </row>
    <row r="563" spans="3:3">
      <c r="C563">
        <v>9</v>
      </c>
    </row>
    <row r="564" spans="3:3">
      <c r="C564">
        <v>9</v>
      </c>
    </row>
    <row r="565" spans="3:3">
      <c r="C565">
        <v>9</v>
      </c>
    </row>
    <row r="566" spans="3:3">
      <c r="C566">
        <v>9</v>
      </c>
    </row>
    <row r="567" spans="3:3">
      <c r="C567">
        <v>9</v>
      </c>
    </row>
    <row r="568" spans="3:3">
      <c r="C568">
        <v>9</v>
      </c>
    </row>
    <row r="569" spans="3:3">
      <c r="C569">
        <v>9</v>
      </c>
    </row>
    <row r="570" spans="3:3">
      <c r="C570">
        <v>9</v>
      </c>
    </row>
    <row r="571" spans="3:3">
      <c r="C571">
        <v>9</v>
      </c>
    </row>
    <row r="572" spans="3:3">
      <c r="C572">
        <v>9</v>
      </c>
    </row>
    <row r="573" spans="3:3">
      <c r="C573">
        <v>9</v>
      </c>
    </row>
    <row r="574" spans="3:3">
      <c r="C574">
        <v>9</v>
      </c>
    </row>
    <row r="575" spans="3:3">
      <c r="C575">
        <v>9</v>
      </c>
    </row>
    <row r="576" spans="3:3">
      <c r="C576">
        <v>9</v>
      </c>
    </row>
    <row r="577" spans="3:3">
      <c r="C577">
        <v>9</v>
      </c>
    </row>
    <row r="578" spans="3:3">
      <c r="C578">
        <v>9</v>
      </c>
    </row>
    <row r="579" spans="3:3">
      <c r="C579">
        <v>9</v>
      </c>
    </row>
    <row r="580" spans="3:3">
      <c r="C580">
        <v>9</v>
      </c>
    </row>
    <row r="581" spans="3:3">
      <c r="C581">
        <v>9</v>
      </c>
    </row>
    <row r="582" spans="3:3">
      <c r="C582">
        <v>9</v>
      </c>
    </row>
    <row r="583" spans="3:3">
      <c r="C583">
        <v>9</v>
      </c>
    </row>
    <row r="584" spans="3:3">
      <c r="C584">
        <v>9</v>
      </c>
    </row>
    <row r="585" spans="3:3">
      <c r="C585">
        <v>9</v>
      </c>
    </row>
    <row r="586" spans="3:3">
      <c r="C586">
        <v>9</v>
      </c>
    </row>
    <row r="587" spans="3:3">
      <c r="C587">
        <v>9</v>
      </c>
    </row>
    <row r="588" spans="3:3">
      <c r="C588">
        <v>9</v>
      </c>
    </row>
    <row r="589" spans="3:3">
      <c r="C589">
        <v>9</v>
      </c>
    </row>
    <row r="590" spans="3:3">
      <c r="C590">
        <v>9</v>
      </c>
    </row>
    <row r="591" spans="3:3">
      <c r="C591">
        <v>9</v>
      </c>
    </row>
    <row r="592" spans="3:3">
      <c r="C592">
        <v>9</v>
      </c>
    </row>
    <row r="593" spans="3:3">
      <c r="C593">
        <v>9</v>
      </c>
    </row>
    <row r="594" spans="3:3">
      <c r="C594">
        <v>9</v>
      </c>
    </row>
    <row r="595" spans="3:3">
      <c r="C595">
        <v>9</v>
      </c>
    </row>
    <row r="596" spans="3:3">
      <c r="C596">
        <v>4</v>
      </c>
    </row>
    <row r="597" spans="3:3">
      <c r="C597">
        <v>4</v>
      </c>
    </row>
    <row r="598" spans="3:3">
      <c r="C598">
        <v>4</v>
      </c>
    </row>
    <row r="599" spans="3:3">
      <c r="C599">
        <v>4</v>
      </c>
    </row>
    <row r="600" spans="3:3">
      <c r="C600">
        <v>4</v>
      </c>
    </row>
    <row r="601" spans="3:3">
      <c r="C601">
        <v>4</v>
      </c>
    </row>
    <row r="602" spans="3:3">
      <c r="C602">
        <v>4</v>
      </c>
    </row>
    <row r="603" spans="3:3">
      <c r="C603">
        <v>4</v>
      </c>
    </row>
    <row r="604" spans="3:3">
      <c r="C604">
        <v>4</v>
      </c>
    </row>
    <row r="605" spans="3:3">
      <c r="C605">
        <v>4</v>
      </c>
    </row>
    <row r="606" spans="3:3">
      <c r="C606">
        <v>4</v>
      </c>
    </row>
    <row r="607" spans="3:3">
      <c r="C607">
        <v>4</v>
      </c>
    </row>
    <row r="608" spans="3:3">
      <c r="C608">
        <v>4</v>
      </c>
    </row>
    <row r="609" spans="3:3">
      <c r="C609">
        <v>4</v>
      </c>
    </row>
    <row r="610" spans="3:3">
      <c r="C610">
        <v>4</v>
      </c>
    </row>
    <row r="611" spans="3:3">
      <c r="C611">
        <v>4</v>
      </c>
    </row>
    <row r="612" spans="3:3">
      <c r="C612">
        <v>4</v>
      </c>
    </row>
    <row r="613" spans="3:3">
      <c r="C613">
        <v>4</v>
      </c>
    </row>
    <row r="614" spans="3:3">
      <c r="C614">
        <v>4</v>
      </c>
    </row>
    <row r="615" spans="3:3">
      <c r="C615">
        <v>4</v>
      </c>
    </row>
    <row r="616" spans="3:3">
      <c r="C616">
        <v>4</v>
      </c>
    </row>
    <row r="617" spans="3:3">
      <c r="C617">
        <v>4</v>
      </c>
    </row>
    <row r="618" spans="3:3">
      <c r="C618">
        <v>4</v>
      </c>
    </row>
    <row r="619" spans="3:3">
      <c r="C619">
        <v>4</v>
      </c>
    </row>
    <row r="620" spans="3:3">
      <c r="C620">
        <v>4</v>
      </c>
    </row>
    <row r="621" spans="3:3">
      <c r="C621">
        <v>4</v>
      </c>
    </row>
    <row r="622" spans="3:3">
      <c r="C622">
        <v>4</v>
      </c>
    </row>
    <row r="623" spans="3:3">
      <c r="C623">
        <v>4</v>
      </c>
    </row>
    <row r="624" spans="3:3">
      <c r="C624">
        <v>4</v>
      </c>
    </row>
    <row r="625" spans="3:3">
      <c r="C625">
        <v>4</v>
      </c>
    </row>
    <row r="626" spans="3:3">
      <c r="C626">
        <v>4</v>
      </c>
    </row>
    <row r="627" spans="3:3">
      <c r="C627">
        <v>4</v>
      </c>
    </row>
    <row r="628" spans="3:3">
      <c r="C628">
        <v>4</v>
      </c>
    </row>
    <row r="629" spans="3:3">
      <c r="C629">
        <v>4</v>
      </c>
    </row>
    <row r="630" spans="3:3">
      <c r="C630">
        <v>4</v>
      </c>
    </row>
    <row r="631" spans="3:3">
      <c r="C631">
        <v>2</v>
      </c>
    </row>
    <row r="632" spans="3:3">
      <c r="C632">
        <v>2</v>
      </c>
    </row>
    <row r="633" spans="3:3">
      <c r="C633">
        <v>2</v>
      </c>
    </row>
    <row r="634" spans="3:3">
      <c r="C634">
        <v>2</v>
      </c>
    </row>
    <row r="635" spans="3:3">
      <c r="C635">
        <v>2</v>
      </c>
    </row>
    <row r="636" spans="3:3">
      <c r="C636">
        <v>2</v>
      </c>
    </row>
    <row r="637" spans="3:3">
      <c r="C637">
        <v>2</v>
      </c>
    </row>
    <row r="638" spans="3:3">
      <c r="C638">
        <v>2</v>
      </c>
    </row>
    <row r="639" spans="3:3">
      <c r="C639">
        <v>2</v>
      </c>
    </row>
    <row r="640" spans="3:3">
      <c r="C640">
        <v>2</v>
      </c>
    </row>
    <row r="641" spans="3:3">
      <c r="C641">
        <v>2</v>
      </c>
    </row>
    <row r="642" spans="3:3">
      <c r="C642">
        <v>2</v>
      </c>
    </row>
    <row r="643" spans="3:3">
      <c r="C643">
        <v>2</v>
      </c>
    </row>
    <row r="644" spans="3:3">
      <c r="C644">
        <v>2</v>
      </c>
    </row>
    <row r="645" spans="3:3">
      <c r="C645">
        <v>2</v>
      </c>
    </row>
    <row r="646" spans="3:3">
      <c r="C646">
        <v>2</v>
      </c>
    </row>
    <row r="647" spans="3:3">
      <c r="C647">
        <v>2</v>
      </c>
    </row>
    <row r="648" spans="3:3">
      <c r="C648">
        <v>2</v>
      </c>
    </row>
    <row r="649" spans="3:3">
      <c r="C649">
        <v>2</v>
      </c>
    </row>
    <row r="650" spans="3:3">
      <c r="C650">
        <v>2</v>
      </c>
    </row>
    <row r="651" spans="3:3">
      <c r="C651">
        <v>2</v>
      </c>
    </row>
    <row r="652" spans="3:3">
      <c r="C652">
        <v>2</v>
      </c>
    </row>
    <row r="653" spans="3:3">
      <c r="C653">
        <v>2</v>
      </c>
    </row>
    <row r="654" spans="3:3">
      <c r="C654">
        <v>2</v>
      </c>
    </row>
    <row r="655" spans="3:3">
      <c r="C655">
        <v>2</v>
      </c>
    </row>
    <row r="656" spans="3:3">
      <c r="C656">
        <v>2</v>
      </c>
    </row>
    <row r="657" spans="3:3">
      <c r="C657">
        <v>2</v>
      </c>
    </row>
    <row r="658" spans="3:3">
      <c r="C658">
        <v>2</v>
      </c>
    </row>
    <row r="659" spans="3:3">
      <c r="C659">
        <v>2</v>
      </c>
    </row>
    <row r="660" spans="3:3">
      <c r="C660">
        <v>2</v>
      </c>
    </row>
    <row r="661" spans="3:3">
      <c r="C661">
        <v>2</v>
      </c>
    </row>
    <row r="662" spans="3:3">
      <c r="C662">
        <v>2</v>
      </c>
    </row>
    <row r="663" spans="3:3">
      <c r="C663">
        <v>2</v>
      </c>
    </row>
    <row r="664" spans="3:3">
      <c r="C664">
        <v>2</v>
      </c>
    </row>
    <row r="665" spans="3:3">
      <c r="C665">
        <v>2</v>
      </c>
    </row>
    <row r="666" spans="3:3">
      <c r="C666">
        <v>11</v>
      </c>
    </row>
    <row r="667" spans="3:3">
      <c r="C667">
        <v>11</v>
      </c>
    </row>
    <row r="668" spans="3:3">
      <c r="C668">
        <v>11</v>
      </c>
    </row>
    <row r="669" spans="3:3">
      <c r="C669">
        <v>11</v>
      </c>
    </row>
    <row r="670" spans="3:3">
      <c r="C670">
        <v>11</v>
      </c>
    </row>
    <row r="671" spans="3:3">
      <c r="C671">
        <v>11</v>
      </c>
    </row>
    <row r="672" spans="3:3">
      <c r="C672">
        <v>11</v>
      </c>
    </row>
    <row r="673" spans="3:3">
      <c r="C673">
        <v>11</v>
      </c>
    </row>
    <row r="674" spans="3:3">
      <c r="C674">
        <v>11</v>
      </c>
    </row>
    <row r="675" spans="3:3">
      <c r="C675">
        <v>11</v>
      </c>
    </row>
    <row r="676" spans="3:3">
      <c r="C676">
        <v>11</v>
      </c>
    </row>
    <row r="677" spans="3:3">
      <c r="C677">
        <v>11</v>
      </c>
    </row>
    <row r="678" spans="3:3">
      <c r="C678">
        <v>11</v>
      </c>
    </row>
    <row r="679" spans="3:3">
      <c r="C679">
        <v>11</v>
      </c>
    </row>
    <row r="680" spans="3:3">
      <c r="C680">
        <v>11</v>
      </c>
    </row>
    <row r="681" spans="3:3">
      <c r="C681">
        <v>11</v>
      </c>
    </row>
    <row r="682" spans="3:3">
      <c r="C682">
        <v>11</v>
      </c>
    </row>
    <row r="683" spans="3:3">
      <c r="C683">
        <v>11</v>
      </c>
    </row>
    <row r="684" spans="3:3">
      <c r="C684">
        <v>11</v>
      </c>
    </row>
    <row r="685" spans="3:3">
      <c r="C685">
        <v>11</v>
      </c>
    </row>
    <row r="686" spans="3:3">
      <c r="C686">
        <v>11</v>
      </c>
    </row>
    <row r="687" spans="3:3">
      <c r="C687">
        <v>11</v>
      </c>
    </row>
    <row r="688" spans="3:3">
      <c r="C688">
        <v>11</v>
      </c>
    </row>
    <row r="689" spans="3:3">
      <c r="C689">
        <v>11</v>
      </c>
    </row>
    <row r="690" spans="3:3">
      <c r="C690">
        <v>11</v>
      </c>
    </row>
    <row r="691" spans="3:3">
      <c r="C691">
        <v>11</v>
      </c>
    </row>
    <row r="692" spans="3:3">
      <c r="C692">
        <v>11</v>
      </c>
    </row>
    <row r="693" spans="3:3">
      <c r="C693">
        <v>11</v>
      </c>
    </row>
    <row r="694" spans="3:3">
      <c r="C694">
        <v>11</v>
      </c>
    </row>
    <row r="695" spans="3:3">
      <c r="C695">
        <v>11</v>
      </c>
    </row>
    <row r="696" spans="3:3">
      <c r="C696">
        <v>11</v>
      </c>
    </row>
    <row r="697" spans="3:3">
      <c r="C697">
        <v>11</v>
      </c>
    </row>
    <row r="698" spans="3:3">
      <c r="C698">
        <v>11</v>
      </c>
    </row>
    <row r="699" spans="3:3">
      <c r="C699">
        <v>11</v>
      </c>
    </row>
    <row r="700" spans="3:3">
      <c r="C700">
        <v>11</v>
      </c>
    </row>
    <row r="701" spans="3:3">
      <c r="C701">
        <v>10</v>
      </c>
    </row>
    <row r="702" spans="3:3">
      <c r="C702">
        <v>10</v>
      </c>
    </row>
    <row r="703" spans="3:3">
      <c r="C703">
        <v>10</v>
      </c>
    </row>
    <row r="704" spans="3:3">
      <c r="C704">
        <v>10</v>
      </c>
    </row>
    <row r="705" spans="3:3">
      <c r="C705">
        <v>10</v>
      </c>
    </row>
    <row r="706" spans="3:3">
      <c r="C706">
        <v>10</v>
      </c>
    </row>
    <row r="707" spans="3:3">
      <c r="C707">
        <v>10</v>
      </c>
    </row>
    <row r="708" spans="3:3">
      <c r="C708">
        <v>10</v>
      </c>
    </row>
    <row r="709" spans="3:3">
      <c r="C709">
        <v>10</v>
      </c>
    </row>
    <row r="710" spans="3:3">
      <c r="C710">
        <v>10</v>
      </c>
    </row>
    <row r="711" spans="3:3">
      <c r="C711">
        <v>10</v>
      </c>
    </row>
    <row r="712" spans="3:3">
      <c r="C712">
        <v>10</v>
      </c>
    </row>
    <row r="713" spans="3:3">
      <c r="C713">
        <v>10</v>
      </c>
    </row>
    <row r="714" spans="3:3">
      <c r="C714">
        <v>10</v>
      </c>
    </row>
    <row r="715" spans="3:3">
      <c r="C715">
        <v>10</v>
      </c>
    </row>
    <row r="716" spans="3:3">
      <c r="C716">
        <v>10</v>
      </c>
    </row>
    <row r="717" spans="3:3">
      <c r="C717">
        <v>10</v>
      </c>
    </row>
    <row r="718" spans="3:3">
      <c r="C718">
        <v>10</v>
      </c>
    </row>
    <row r="719" spans="3:3">
      <c r="C719">
        <v>10</v>
      </c>
    </row>
    <row r="720" spans="3:3">
      <c r="C720">
        <v>10</v>
      </c>
    </row>
    <row r="721" spans="3:3">
      <c r="C721">
        <v>10</v>
      </c>
    </row>
    <row r="722" spans="3:3">
      <c r="C722">
        <v>10</v>
      </c>
    </row>
    <row r="723" spans="3:3">
      <c r="C723">
        <v>10</v>
      </c>
    </row>
    <row r="724" spans="3:3">
      <c r="C724">
        <v>10</v>
      </c>
    </row>
    <row r="725" spans="3:3">
      <c r="C725">
        <v>10</v>
      </c>
    </row>
    <row r="726" spans="3:3">
      <c r="C726">
        <v>10</v>
      </c>
    </row>
    <row r="727" spans="3:3">
      <c r="C727">
        <v>10</v>
      </c>
    </row>
    <row r="728" spans="3:3">
      <c r="C728">
        <v>10</v>
      </c>
    </row>
    <row r="729" spans="3:3">
      <c r="C729">
        <v>10</v>
      </c>
    </row>
    <row r="730" spans="3:3">
      <c r="C730">
        <v>10</v>
      </c>
    </row>
    <row r="731" spans="3:3">
      <c r="C731">
        <v>10</v>
      </c>
    </row>
    <row r="732" spans="3:3">
      <c r="C732">
        <v>10</v>
      </c>
    </row>
    <row r="733" spans="3:3">
      <c r="C733">
        <v>10</v>
      </c>
    </row>
    <row r="734" spans="3:3">
      <c r="C734">
        <v>10</v>
      </c>
    </row>
    <row r="735" spans="3:3">
      <c r="C735">
        <v>10</v>
      </c>
    </row>
    <row r="736" spans="3:3">
      <c r="C736">
        <v>24</v>
      </c>
    </row>
    <row r="737" spans="3:3">
      <c r="C737">
        <v>24</v>
      </c>
    </row>
    <row r="738" spans="3:3">
      <c r="C738">
        <v>24</v>
      </c>
    </row>
    <row r="739" spans="3:3">
      <c r="C739">
        <v>24</v>
      </c>
    </row>
    <row r="740" spans="3:3">
      <c r="C740">
        <v>24</v>
      </c>
    </row>
    <row r="741" spans="3:3">
      <c r="C741">
        <v>24</v>
      </c>
    </row>
    <row r="742" spans="3:3">
      <c r="C742">
        <v>24</v>
      </c>
    </row>
    <row r="743" spans="3:3">
      <c r="C743">
        <v>24</v>
      </c>
    </row>
    <row r="744" spans="3:3">
      <c r="C744">
        <v>24</v>
      </c>
    </row>
    <row r="745" spans="3:3">
      <c r="C745">
        <v>24</v>
      </c>
    </row>
    <row r="746" spans="3:3">
      <c r="C746">
        <v>24</v>
      </c>
    </row>
    <row r="747" spans="3:3">
      <c r="C747">
        <v>24</v>
      </c>
    </row>
    <row r="748" spans="3:3">
      <c r="C748">
        <v>24</v>
      </c>
    </row>
    <row r="749" spans="3:3">
      <c r="C749">
        <v>24</v>
      </c>
    </row>
    <row r="750" spans="3:3">
      <c r="C750">
        <v>24</v>
      </c>
    </row>
    <row r="751" spans="3:3">
      <c r="C751">
        <v>24</v>
      </c>
    </row>
    <row r="752" spans="3:3">
      <c r="C752">
        <v>24</v>
      </c>
    </row>
    <row r="753" spans="3:3">
      <c r="C753">
        <v>24</v>
      </c>
    </row>
    <row r="754" spans="3:3">
      <c r="C754">
        <v>24</v>
      </c>
    </row>
    <row r="755" spans="3:3">
      <c r="C755">
        <v>24</v>
      </c>
    </row>
    <row r="756" spans="3:3">
      <c r="C756">
        <v>24</v>
      </c>
    </row>
    <row r="757" spans="3:3">
      <c r="C757">
        <v>24</v>
      </c>
    </row>
    <row r="758" spans="3:3">
      <c r="C758">
        <v>24</v>
      </c>
    </row>
    <row r="759" spans="3:3">
      <c r="C759">
        <v>24</v>
      </c>
    </row>
    <row r="760" spans="3:3">
      <c r="C760">
        <v>24</v>
      </c>
    </row>
    <row r="761" spans="3:3">
      <c r="C761">
        <v>24</v>
      </c>
    </row>
    <row r="762" spans="3:3">
      <c r="C762">
        <v>24</v>
      </c>
    </row>
    <row r="763" spans="3:3">
      <c r="C763">
        <v>24</v>
      </c>
    </row>
    <row r="764" spans="3:3">
      <c r="C764">
        <v>24</v>
      </c>
    </row>
    <row r="765" spans="3:3">
      <c r="C765">
        <v>24</v>
      </c>
    </row>
    <row r="766" spans="3:3">
      <c r="C766">
        <v>24</v>
      </c>
    </row>
    <row r="767" spans="3:3">
      <c r="C767">
        <v>24</v>
      </c>
    </row>
    <row r="768" spans="3:3">
      <c r="C768">
        <v>24</v>
      </c>
    </row>
    <row r="769" spans="3:3">
      <c r="C769">
        <v>24</v>
      </c>
    </row>
    <row r="770" spans="3:3">
      <c r="C770">
        <v>24</v>
      </c>
    </row>
    <row r="771" spans="3:3">
      <c r="C771">
        <v>8</v>
      </c>
    </row>
    <row r="772" spans="3:3">
      <c r="C772">
        <v>8</v>
      </c>
    </row>
    <row r="773" spans="3:3">
      <c r="C773">
        <v>8</v>
      </c>
    </row>
    <row r="774" spans="3:3">
      <c r="C774">
        <v>8</v>
      </c>
    </row>
    <row r="775" spans="3:3">
      <c r="C775">
        <v>8</v>
      </c>
    </row>
    <row r="776" spans="3:3">
      <c r="C776">
        <v>8</v>
      </c>
    </row>
    <row r="777" spans="3:3">
      <c r="C777">
        <v>8</v>
      </c>
    </row>
    <row r="778" spans="3:3">
      <c r="C778">
        <v>8</v>
      </c>
    </row>
    <row r="779" spans="3:3">
      <c r="C779">
        <v>8</v>
      </c>
    </row>
    <row r="780" spans="3:3">
      <c r="C780">
        <v>8</v>
      </c>
    </row>
    <row r="781" spans="3:3">
      <c r="C781">
        <v>8</v>
      </c>
    </row>
    <row r="782" spans="3:3">
      <c r="C782">
        <v>8</v>
      </c>
    </row>
    <row r="783" spans="3:3">
      <c r="C783">
        <v>8</v>
      </c>
    </row>
    <row r="784" spans="3:3">
      <c r="C784">
        <v>8</v>
      </c>
    </row>
    <row r="785" spans="3:3">
      <c r="C785">
        <v>8</v>
      </c>
    </row>
    <row r="786" spans="3:3">
      <c r="C786">
        <v>8</v>
      </c>
    </row>
    <row r="787" spans="3:3">
      <c r="C787">
        <v>8</v>
      </c>
    </row>
    <row r="788" spans="3:3">
      <c r="C788">
        <v>8</v>
      </c>
    </row>
    <row r="789" spans="3:3">
      <c r="C789">
        <v>8</v>
      </c>
    </row>
    <row r="790" spans="3:3">
      <c r="C790">
        <v>8</v>
      </c>
    </row>
    <row r="791" spans="3:3">
      <c r="C791">
        <v>8</v>
      </c>
    </row>
    <row r="792" spans="3:3">
      <c r="C792">
        <v>8</v>
      </c>
    </row>
    <row r="793" spans="3:3">
      <c r="C793">
        <v>8</v>
      </c>
    </row>
    <row r="794" spans="3:3">
      <c r="C794">
        <v>8</v>
      </c>
    </row>
    <row r="795" spans="3:3">
      <c r="C795">
        <v>8</v>
      </c>
    </row>
    <row r="796" spans="3:3">
      <c r="C796">
        <v>8</v>
      </c>
    </row>
    <row r="797" spans="3:3">
      <c r="C797">
        <v>8</v>
      </c>
    </row>
    <row r="798" spans="3:3">
      <c r="C798">
        <v>8</v>
      </c>
    </row>
    <row r="799" spans="3:3">
      <c r="C799">
        <v>8</v>
      </c>
    </row>
    <row r="800" spans="3:3">
      <c r="C800">
        <v>8</v>
      </c>
    </row>
    <row r="801" spans="3:3">
      <c r="C801">
        <v>8</v>
      </c>
    </row>
    <row r="802" spans="3:3">
      <c r="C802">
        <v>8</v>
      </c>
    </row>
    <row r="803" spans="3:3">
      <c r="C803">
        <v>8</v>
      </c>
    </row>
    <row r="804" spans="3:3">
      <c r="C804">
        <v>8</v>
      </c>
    </row>
    <row r="805" spans="3:3">
      <c r="C805">
        <v>8</v>
      </c>
    </row>
    <row r="806" spans="3:3">
      <c r="C806">
        <v>12</v>
      </c>
    </row>
    <row r="807" spans="3:3">
      <c r="C807">
        <v>12</v>
      </c>
    </row>
    <row r="808" spans="3:3">
      <c r="C808">
        <v>12</v>
      </c>
    </row>
    <row r="809" spans="3:3">
      <c r="C809">
        <v>12</v>
      </c>
    </row>
    <row r="810" spans="3:3">
      <c r="C810">
        <v>12</v>
      </c>
    </row>
    <row r="811" spans="3:3">
      <c r="C811">
        <v>12</v>
      </c>
    </row>
    <row r="812" spans="3:3">
      <c r="C812">
        <v>12</v>
      </c>
    </row>
    <row r="813" spans="3:3">
      <c r="C813">
        <v>12</v>
      </c>
    </row>
    <row r="814" spans="3:3">
      <c r="C814">
        <v>12</v>
      </c>
    </row>
    <row r="815" spans="3:3">
      <c r="C815">
        <v>12</v>
      </c>
    </row>
    <row r="816" spans="3:3">
      <c r="C816">
        <v>12</v>
      </c>
    </row>
    <row r="817" spans="3:3">
      <c r="C817">
        <v>12</v>
      </c>
    </row>
    <row r="818" spans="3:3">
      <c r="C818">
        <v>12</v>
      </c>
    </row>
    <row r="819" spans="3:3">
      <c r="C819">
        <v>12</v>
      </c>
    </row>
    <row r="820" spans="3:3">
      <c r="C820">
        <v>12</v>
      </c>
    </row>
    <row r="821" spans="3:3">
      <c r="C821">
        <v>12</v>
      </c>
    </row>
    <row r="822" spans="3:3">
      <c r="C822">
        <v>12</v>
      </c>
    </row>
    <row r="823" spans="3:3">
      <c r="C823">
        <v>12</v>
      </c>
    </row>
    <row r="824" spans="3:3">
      <c r="C824">
        <v>12</v>
      </c>
    </row>
    <row r="825" spans="3:3">
      <c r="C825">
        <v>12</v>
      </c>
    </row>
    <row r="826" spans="3:3">
      <c r="C826">
        <v>12</v>
      </c>
    </row>
    <row r="827" spans="3:3">
      <c r="C827">
        <v>12</v>
      </c>
    </row>
    <row r="828" spans="3:3">
      <c r="C828">
        <v>12</v>
      </c>
    </row>
    <row r="829" spans="3:3">
      <c r="C829">
        <v>12</v>
      </c>
    </row>
    <row r="830" spans="3:3">
      <c r="C830">
        <v>12</v>
      </c>
    </row>
    <row r="831" spans="3:3">
      <c r="C831">
        <v>12</v>
      </c>
    </row>
    <row r="832" spans="3:3">
      <c r="C832">
        <v>12</v>
      </c>
    </row>
    <row r="833" spans="3:3">
      <c r="C833">
        <v>12</v>
      </c>
    </row>
    <row r="834" spans="3:3">
      <c r="C834">
        <v>12</v>
      </c>
    </row>
    <row r="835" spans="3:3">
      <c r="C835">
        <v>12</v>
      </c>
    </row>
    <row r="836" spans="3:3">
      <c r="C836">
        <v>12</v>
      </c>
    </row>
    <row r="837" spans="3:3">
      <c r="C837">
        <v>12</v>
      </c>
    </row>
    <row r="838" spans="3:3">
      <c r="C838">
        <v>12</v>
      </c>
    </row>
    <row r="839" spans="3:3">
      <c r="C839">
        <v>12</v>
      </c>
    </row>
    <row r="840" spans="3:3">
      <c r="C840">
        <v>12</v>
      </c>
    </row>
    <row r="841" spans="3:3">
      <c r="C841">
        <v>20</v>
      </c>
    </row>
    <row r="842" spans="3:3">
      <c r="C842">
        <v>20</v>
      </c>
    </row>
    <row r="843" spans="3:3">
      <c r="C843">
        <v>20</v>
      </c>
    </row>
    <row r="844" spans="3:3">
      <c r="C844">
        <v>20</v>
      </c>
    </row>
    <row r="845" spans="3:3">
      <c r="C845">
        <v>20</v>
      </c>
    </row>
    <row r="846" spans="3:3">
      <c r="C846">
        <v>20</v>
      </c>
    </row>
    <row r="847" spans="3:3">
      <c r="C847">
        <v>20</v>
      </c>
    </row>
    <row r="848" spans="3:3">
      <c r="C848">
        <v>20</v>
      </c>
    </row>
    <row r="849" spans="3:3">
      <c r="C849">
        <v>20</v>
      </c>
    </row>
    <row r="850" spans="3:3">
      <c r="C850">
        <v>20</v>
      </c>
    </row>
    <row r="851" spans="3:3">
      <c r="C851">
        <v>20</v>
      </c>
    </row>
    <row r="852" spans="3:3">
      <c r="C852">
        <v>20</v>
      </c>
    </row>
    <row r="853" spans="3:3">
      <c r="C853">
        <v>20</v>
      </c>
    </row>
    <row r="854" spans="3:3">
      <c r="C854">
        <v>20</v>
      </c>
    </row>
    <row r="855" spans="3:3">
      <c r="C855">
        <v>20</v>
      </c>
    </row>
    <row r="856" spans="3:3">
      <c r="C856">
        <v>20</v>
      </c>
    </row>
    <row r="857" spans="3:3">
      <c r="C857">
        <v>20</v>
      </c>
    </row>
    <row r="858" spans="3:3">
      <c r="C858">
        <v>20</v>
      </c>
    </row>
    <row r="859" spans="3:3">
      <c r="C859">
        <v>20</v>
      </c>
    </row>
    <row r="860" spans="3:3">
      <c r="C860">
        <v>20</v>
      </c>
    </row>
    <row r="861" spans="3:3">
      <c r="C861">
        <v>20</v>
      </c>
    </row>
    <row r="862" spans="3:3">
      <c r="C862">
        <v>20</v>
      </c>
    </row>
    <row r="863" spans="3:3">
      <c r="C863">
        <v>20</v>
      </c>
    </row>
    <row r="864" spans="3:3">
      <c r="C864">
        <v>20</v>
      </c>
    </row>
    <row r="865" spans="3:3">
      <c r="C865">
        <v>20</v>
      </c>
    </row>
    <row r="866" spans="3:3">
      <c r="C866">
        <v>20</v>
      </c>
    </row>
    <row r="867" spans="3:3">
      <c r="C867">
        <v>20</v>
      </c>
    </row>
    <row r="868" spans="3:3">
      <c r="C868">
        <v>20</v>
      </c>
    </row>
    <row r="869" spans="3:3">
      <c r="C869">
        <v>20</v>
      </c>
    </row>
    <row r="870" spans="3:3">
      <c r="C870">
        <v>20</v>
      </c>
    </row>
    <row r="871" spans="3:3">
      <c r="C871">
        <v>20</v>
      </c>
    </row>
    <row r="872" spans="3:3">
      <c r="C872">
        <v>20</v>
      </c>
    </row>
    <row r="873" spans="3:3">
      <c r="C873">
        <v>20</v>
      </c>
    </row>
    <row r="874" spans="3:3">
      <c r="C874">
        <v>20</v>
      </c>
    </row>
    <row r="875" spans="3:3">
      <c r="C875">
        <v>20</v>
      </c>
    </row>
    <row r="876" spans="3:3">
      <c r="C876">
        <v>1</v>
      </c>
    </row>
    <row r="877" spans="3:3">
      <c r="C877">
        <v>1</v>
      </c>
    </row>
    <row r="878" spans="3:3">
      <c r="C878">
        <v>1</v>
      </c>
    </row>
    <row r="879" spans="3:3">
      <c r="C879">
        <v>1</v>
      </c>
    </row>
    <row r="880" spans="3:3">
      <c r="C880">
        <v>1</v>
      </c>
    </row>
    <row r="881" spans="3:3">
      <c r="C881">
        <v>1</v>
      </c>
    </row>
    <row r="882" spans="3:3">
      <c r="C882">
        <v>1</v>
      </c>
    </row>
    <row r="883" spans="3:3">
      <c r="C883">
        <v>1</v>
      </c>
    </row>
    <row r="884" spans="3:3">
      <c r="C884">
        <v>1</v>
      </c>
    </row>
    <row r="885" spans="3:3">
      <c r="C885">
        <v>1</v>
      </c>
    </row>
    <row r="886" spans="3:3">
      <c r="C886">
        <v>1</v>
      </c>
    </row>
    <row r="887" spans="3:3">
      <c r="C887">
        <v>1</v>
      </c>
    </row>
    <row r="888" spans="3:3">
      <c r="C888">
        <v>1</v>
      </c>
    </row>
    <row r="889" spans="3:3">
      <c r="C889">
        <v>1</v>
      </c>
    </row>
    <row r="890" spans="3:3">
      <c r="C890">
        <v>1</v>
      </c>
    </row>
    <row r="891" spans="3:3">
      <c r="C891">
        <v>1</v>
      </c>
    </row>
    <row r="892" spans="3:3">
      <c r="C892">
        <v>1</v>
      </c>
    </row>
    <row r="893" spans="3:3">
      <c r="C893">
        <v>1</v>
      </c>
    </row>
    <row r="894" spans="3:3">
      <c r="C894">
        <v>1</v>
      </c>
    </row>
    <row r="895" spans="3:3">
      <c r="C895">
        <v>1</v>
      </c>
    </row>
    <row r="896" spans="3:3">
      <c r="C896">
        <v>1</v>
      </c>
    </row>
    <row r="897" spans="3:3">
      <c r="C897">
        <v>1</v>
      </c>
    </row>
    <row r="898" spans="3:3">
      <c r="C898">
        <v>1</v>
      </c>
    </row>
    <row r="899" spans="3:3">
      <c r="C899">
        <v>1</v>
      </c>
    </row>
    <row r="900" spans="3:3">
      <c r="C900">
        <v>1</v>
      </c>
    </row>
    <row r="901" spans="3:3">
      <c r="C901">
        <v>1</v>
      </c>
    </row>
    <row r="902" spans="3:3">
      <c r="C902">
        <v>1</v>
      </c>
    </row>
    <row r="903" spans="3:3">
      <c r="C903">
        <v>1</v>
      </c>
    </row>
    <row r="904" spans="3:3">
      <c r="C904">
        <v>1</v>
      </c>
    </row>
    <row r="905" spans="3:3">
      <c r="C905">
        <v>1</v>
      </c>
    </row>
    <row r="906" spans="3:3">
      <c r="C906">
        <v>1</v>
      </c>
    </row>
    <row r="907" spans="3:3">
      <c r="C907">
        <v>1</v>
      </c>
    </row>
    <row r="908" spans="3:3">
      <c r="C908">
        <v>1</v>
      </c>
    </row>
    <row r="909" spans="3:3">
      <c r="C909">
        <v>1</v>
      </c>
    </row>
    <row r="910" spans="3:3">
      <c r="C9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28</vt:i4>
      </vt:variant>
    </vt:vector>
  </HeadingPairs>
  <TitlesOfParts>
    <vt:vector size="28" baseType="lpstr">
      <vt:lpstr>Україна</vt:lpstr>
      <vt:lpstr>АР Крим</vt:lpstr>
      <vt:lpstr>Вінницька</vt:lpstr>
      <vt:lpstr>Волинська</vt:lpstr>
      <vt:lpstr>Дніпропетровська</vt:lpstr>
      <vt:lpstr>Донецька</vt:lpstr>
      <vt:lpstr>Житомирська</vt:lpstr>
      <vt:lpstr>Закарпатська</vt:lpstr>
      <vt:lpstr>Запорізька</vt:lpstr>
      <vt:lpstr>Івано-Франківська</vt:lpstr>
      <vt:lpstr>Київська</vt:lpstr>
      <vt:lpstr>Кіровоградська</vt:lpstr>
      <vt:lpstr>Луганська</vt:lpstr>
      <vt:lpstr>Львівська</vt:lpstr>
      <vt:lpstr>Миколаївська</vt:lpstr>
      <vt:lpstr>Одеська</vt:lpstr>
      <vt:lpstr>Полтавська</vt:lpstr>
      <vt:lpstr>Рівненська</vt:lpstr>
      <vt:lpstr>Сумська</vt:lpstr>
      <vt:lpstr>Тернопільська</vt:lpstr>
      <vt:lpstr>Харківська</vt:lpstr>
      <vt:lpstr>Херсонська</vt:lpstr>
      <vt:lpstr>Хмельницька</vt:lpstr>
      <vt:lpstr>Черкаська</vt:lpstr>
      <vt:lpstr>Чернівецька</vt:lpstr>
      <vt:lpstr>Чернігівська</vt:lpstr>
      <vt:lpstr>All</vt:lpstr>
      <vt:lpstr>Лист2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Skif</cp:lastModifiedBy>
  <dcterms:created xsi:type="dcterms:W3CDTF">2017-01-23T15:26:05Z</dcterms:created>
  <dcterms:modified xsi:type="dcterms:W3CDTF">2017-04-26T09:03:29Z</dcterms:modified>
</cp:coreProperties>
</file>